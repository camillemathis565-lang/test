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sez-moi" sheetId="1" state="visible" r:id="rId3"/>
    <sheet name="Chiffres" sheetId="2" state="visible" r:id="rId4"/>
    <sheet name="Sources" sheetId="3" state="visible" r:id="rId5"/>
    <sheet name="Données manquantes" sheetId="4" state="visible" r:id="rId6"/>
    <sheet name="Calculs propres (Sirene)" sheetId="5" state="visible" r:id="rId7"/>
    <sheet name="Synthèse" sheetId="6" state="visible" r:id="rId8"/>
    <sheet name="Listes" sheetId="7" state="hidden" r:id="rId9"/>
  </sheets>
  <definedNames>
    <definedName function="false" hidden="true" localSheetId="1" name="_xlnm._FilterDatabase" vbProcedure="false">Chiffres!$A$4:$O$168</definedName>
    <definedName function="false" hidden="true" localSheetId="3" name="_xlnm._FilterDatabase" vbProcedure="false">'Données manquantes'!$A$4:$J$29</definedName>
    <definedName function="false" hidden="true" localSheetId="2" name="_xlnm._FilterDatabase" vbProcedure="false">Sources!$A$4:$G$57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<sst xmlns="http://schemas.openxmlformats.org/spreadsheetml/2006/main" count="2858" uniqueCount="1109">
  <si>
    <t xml:space="preserve">Zones commerciales périphériques, centres-villes et QPV : base de chiffres pour l'état de l'art</t>
  </si>
  <si>
    <t xml:space="preserve">Étude de cas France, OCDE (division PME). Version du 1er octobre 2026.</t>
  </si>
  <si>
    <t xml:space="preserve">Objet</t>
  </si>
  <si>
    <t xml:space="preserve">Rassembler les chiffres publiés sur le développement des zones commerciales périphériques et sur la situation des centres-villes et des QPV. Les chiffres ne sont pas comparés ni combinés entre eux : chacun est rattaché à sa source, à son année et à ce qu'il mesure.</t>
  </si>
  <si>
    <t xml:space="preserve">Onglet « Chiffres »</t>
  </si>
  <si>
    <t xml:space="preserve">Un chiffre par ligne. Filtrer par thème, par source ou par niveau de vérification avec les flèches de l'en-tête.</t>
  </si>
  <si>
    <t xml:space="preserve">Onglet « Sources »</t>
  </si>
  <si>
    <t xml:space="preserve">Liste des documents, avec le nombre de chiffres repris dans l'onglet « Chiffres » (calculé automatiquement).</t>
  </si>
  <si>
    <t xml:space="preserve">Onglet « Données manquantes »</t>
  </si>
  <si>
    <t xml:space="preserve">Données et documents qui manquent pour évaluer pleinement l'influence des zones périphériques sur les centres-villes et les QPV, avec le détenteur, l'accès et une démarche suggérée.</t>
  </si>
  <si>
    <t xml:space="preserve">Onglet « Calculs propres (Sirene) »</t>
  </si>
  <si>
    <t xml:space="preserve">Nos propres calculs sur le répertoire Sirene (2012-2025). Ce ne sont pas des chiffres publiés : à présenter séparément de l'état de l'art.</t>
  </si>
  <si>
    <t xml:space="preserve">Onglet « Synthèse »</t>
  </si>
  <si>
    <t xml:space="preserve">Décompte des chiffres par thème et par niveau de vérification (formules).</t>
  </si>
  <si>
    <t xml:space="preserve">Colonnes de l'onglet « Chiffres »</t>
  </si>
  <si>
    <t xml:space="preserve">Indicateur</t>
  </si>
  <si>
    <t xml:space="preserve">Ce qui est mesuré, formulé de façon à être compris hors contexte.</t>
  </si>
  <si>
    <t xml:space="preserve">Valeur / Unité</t>
  </si>
  <si>
    <t xml:space="preserve">Valeur telle que publiée. Les pourcentages sont saisis en points (65 = 65 %). Une valeur textuelle signale une fourchette ou un ratio.</t>
  </si>
  <si>
    <t xml:space="preserve">Année(s) de référence</t>
  </si>
  <si>
    <t xml:space="preserve">Année ou période à laquelle se rapporte le chiffre (et non l'année de publication).</t>
  </si>
  <si>
    <t xml:space="preserve">Territoire</t>
  </si>
  <si>
    <t xml:space="preserve">Champ géographique couvert.</t>
  </si>
  <si>
    <t xml:space="preserve">Ce que le chiffre prend en compte</t>
  </si>
  <si>
    <t xml:space="preserve">Définition, champ statistique, panel : c'est la colonne à lire avant de rapprocher deux chiffres.</t>
  </si>
  <si>
    <t xml:space="preserve">Vérification</t>
  </si>
  <si>
    <t xml:space="preserve">Niveau de confiance dans la reprise du chiffre (voir légende ci-dessous).</t>
  </si>
  <si>
    <t xml:space="preserve">Légende : vérification</t>
  </si>
  <si>
    <t xml:space="preserve">A - Relu dans la source primaire</t>
  </si>
  <si>
    <t xml:space="preserve">Chiffre relu le 1er octobre 2026 dans le document cité en source (seconde vérification). Pour une source qui est elle-même un relais, voir le niveau C.</t>
  </si>
  <si>
    <t xml:space="preserve">B - Source primaire consultée pendant la recherche (non relue)</t>
  </si>
  <si>
    <t xml:space="preserve">Chiffre relevé sur la page ou le document d'origine pendant la recherche documentaire, sans nouvelle relecture.</t>
  </si>
  <si>
    <t xml:space="preserve">C - Via un relais (presse, synthèse, autre rapport)</t>
  </si>
  <si>
    <t xml:space="preserve">Chiffre lu dans un document qui cite la source d'origine (article de presse, synthèse, autre rapport).</t>
  </si>
  <si>
    <t xml:space="preserve">D - Non vérifié : origine à confirmer</t>
  </si>
  <si>
    <t xml:space="preserve">Origine du chiffre non identifiée ou chiffre issu d'une synthèse automatique : à vérifier avant toute citation.</t>
  </si>
  <si>
    <t xml:space="preserve">E - Repris de la présentation OCDE (non revérifié)</t>
  </si>
  <si>
    <t xml:space="preserve">Chiffre repris de la présentation OCDE (diapositives), avec les sources indiquées sur la diapositive, non revérifié ici.</t>
  </si>
  <si>
    <t xml:space="preserve">Ajouter un chiffre</t>
  </si>
  <si>
    <t xml:space="preserve">Insérer une ligne dans l'onglet « Chiffres », renseigner toutes les colonnes et utiliser une référence de l'onglet « Sources » (ajouter la source si elle est nouvelle). Les listes déroulantes « Thème », « Type de source » et « Vérification » garantissent des catégories homogènes.</t>
  </si>
  <si>
    <t xml:space="preserve">Seconde vérification</t>
  </si>
  <si>
    <t xml:space="preserve">Le 1er octobre 2026, chaque source a été retéléchargée et chaque chiffre recherché dans son texte. Les corrections (année, valeur, intitulé) et les chiffres introuvables (passés au niveau D) sont détaillés dans la colonne « Remarques ». La même base est consultable et modifiable en ligne dans le « Registre du commerce périphérique ».</t>
  </si>
  <si>
    <t xml:space="preserve">Précautions</t>
  </si>
  <si>
    <t xml:space="preserve">Plusieurs indicateurs proches ont des champs différents (ex. vacance « tous sites », « rues marchandes », « centres-villes ACV » ; surfaces CDAC selon la CNAC ou selon Kyris / Procos). Comparer uniquement des chiffres de même champ et de même source.</t>
  </si>
  <si>
    <t xml:space="preserve">Chiffres publiés</t>
  </si>
  <si>
    <t xml:space="preserve">Un chiffre par ligne. Pourcentages saisis en points (65 = 65 %).</t>
  </si>
  <si>
    <t xml:space="preserve">N°</t>
  </si>
  <si>
    <t xml:space="preserve">Thème</t>
  </si>
  <si>
    <t xml:space="preserve">Valeur</t>
  </si>
  <si>
    <t xml:space="preserve">Unité</t>
  </si>
  <si>
    <t xml:space="preserve">Ce que le chiffre prend en compte (champ, définition)</t>
  </si>
  <si>
    <t xml:space="preserve">Réf. source</t>
  </si>
  <si>
    <t xml:space="preserve">Source</t>
  </si>
  <si>
    <t xml:space="preserve">Date de publication</t>
  </si>
  <si>
    <t xml:space="preserve">Type de source</t>
  </si>
  <si>
    <t xml:space="preserve">Lien</t>
  </si>
  <si>
    <t xml:space="preserve">Remarques</t>
  </si>
  <si>
    <t xml:space="preserve">1. Poids des zones commerciales périphériques</t>
  </si>
  <si>
    <t xml:space="preserve">Nombre de zones commerciales de périphérie</t>
  </si>
  <si>
    <t xml:space="preserve">zones</t>
  </si>
  <si>
    <t xml:space="preserve">2022-2023</t>
  </si>
  <si>
    <t xml:space="preserve">France</t>
  </si>
  <si>
    <t xml:space="preserve">Inventaire national du Cerema (photo-interprétation et fichiers fonciers). Ordre de grandeur : « 1 500 zones recensées ».</t>
  </si>
  <si>
    <t xml:space="preserve">S01</t>
  </si>
  <si>
    <t xml:space="preserve">Cerema, Accompagner la mutation des zones commerciales de périphérie</t>
  </si>
  <si>
    <t xml:space="preserve">19/05/2025</t>
  </si>
  <si>
    <t xml:space="preserve">Administration / opérateur public</t>
  </si>
  <si>
    <t xml:space="preserve">https://www.cerema.fr/fr/actualites/accompagner-mutation-zones-commerciales-peripherie</t>
  </si>
  <si>
    <t xml:space="preserve">Surface couverte par ces zones</t>
  </si>
  <si>
    <t xml:space="preserve">millions de m²</t>
  </si>
  <si>
    <t xml:space="preserve">Emprise des zones (« cinq fois la superficie de Paris »). Ne correspond pas à la surface de vente : inclut vraisemblablement bâti, parkings et voiries.</t>
  </si>
  <si>
    <t xml:space="preserve">Même chiffre dans le dossier de presse du Gouvernement (S08).</t>
  </si>
  <si>
    <t xml:space="preserve">Nombre de contours retenus dans la base EmpCom</t>
  </si>
  <si>
    <t xml:space="preserve">contours</t>
  </si>
  <si>
    <t xml:space="preserve">inventaire 2022, publié 02/2023</t>
  </si>
  <si>
    <t xml:space="preserve">France métropolitaine</t>
  </si>
  <si>
    <t xml:space="preserve">Emprises de plus de 20 000 m² de surface bâtie, et surface commerciale &gt; 60 000 m² ou entre 25 000 et 150 000 m² avec &gt; 15 000 m² de surface commerciale.</t>
  </si>
  <si>
    <t xml:space="preserve">S02</t>
  </si>
  <si>
    <t xml:space="preserve">Cerema, Les données de géolocalisation des 1500 zones commerciales de périphérie sont en open data (base EmpCom)</t>
  </si>
  <si>
    <t xml:space="preserve">23/01/2024</t>
  </si>
  <si>
    <t xml:space="preserve">https://www.cerema.fr/fr/actualites/donnees-geolocalisation-1500-zones-commerciales-peripherie</t>
  </si>
  <si>
    <t xml:space="preserve">Base en open data (DataFoncier, data.gouv.fr).</t>
  </si>
  <si>
    <t xml:space="preserve">Part des déplacements en voiture vers les zones commerciales périphériques, métropoles</t>
  </si>
  <si>
    <t xml:space="preserve">%</t>
  </si>
  <si>
    <t xml:space="preserve">s.d.</t>
  </si>
  <si>
    <t xml:space="preserve">Métropoles</t>
  </si>
  <si>
    <t xml:space="preserve">Part de la voiture individuelle dans les déplacements à destination des zones commerciales périphériques.</t>
  </si>
  <si>
    <t xml:space="preserve">Source de l'enquête de mobilité non précisée sur la page.</t>
  </si>
  <si>
    <t xml:space="preserve">Part des déplacements en voiture vers les zones commerciales périphériques, villes moyennes</t>
  </si>
  <si>
    <t xml:space="preserve">Villes moyennes</t>
  </si>
  <si>
    <t xml:space="preserve">Idem, villes moyennes.</t>
  </si>
  <si>
    <t xml:space="preserve">Part de la surface commerciale des pôles située dans les pôles de périphérie</t>
  </si>
  <si>
    <t xml:space="preserve">2015</t>
  </si>
  <si>
    <t xml:space="preserve">France métropolitaine et La Réunion</t>
  </si>
  <si>
    <t xml:space="preserve">Pôles du commerce de proximité au sens de l'Insee (commerce de détail + services de la vie courante). Les pôles de périphérie représentent 23 % des établissements des pôles.</t>
  </si>
  <si>
    <t xml:space="preserve">S05</t>
  </si>
  <si>
    <t xml:space="preserve">Bédué M. et Cohen C. (Insee), Le commerce de proximité : des pôles plus florissants en périphérie qu'en centre-ville, Insee Première n° 1858</t>
  </si>
  <si>
    <t xml:space="preserve">20/05/2021</t>
  </si>
  <si>
    <t xml:space="preserve">Statistique publique</t>
  </si>
  <si>
    <t xml:space="preserve">https://www.insee.fr/fr/statistiques/5386414</t>
  </si>
  <si>
    <t xml:space="preserve">Le résumé de la publication dit « deux tiers ». Ne pas citer 66 %.</t>
  </si>
  <si>
    <t xml:space="preserve">Part de l'emploi salarié des pôles située dans les pôles de périphérie</t>
  </si>
  <si>
    <t xml:space="preserve">Même champ (pôles du commerce de proximité).</t>
  </si>
  <si>
    <t xml:space="preserve">Nombre de pôles du commerce de proximité</t>
  </si>
  <si>
    <t xml:space="preserve">pôles</t>
  </si>
  <si>
    <t xml:space="preserve">Pôles identifiés par l'Insee ; 62 % sont des pôles de périphérie.</t>
  </si>
  <si>
    <t xml:space="preserve">Part des salariés des points de vente aux ménages travaillant dans les pôles de périphérie</t>
  </si>
  <si>
    <t xml:space="preserve">2022</t>
  </si>
  <si>
    <t xml:space="preserve">Points de vente aux ménages ; les pôles de centre-ville rassemblent aussi 37 % des salariés (1,0 million).</t>
  </si>
  <si>
    <t xml:space="preserve">S07</t>
  </si>
  <si>
    <t xml:space="preserve">Bloch K. et Pichavant A.-S. (Insee), Entre 2016 et 2022, l'emploi salarié des points de vente progresse davantage en dehors des centres-villes, Insee Première n° 2091</t>
  </si>
  <si>
    <t xml:space="preserve">27/01/2026</t>
  </si>
  <si>
    <t xml:space="preserve">https://www.insee.fr/fr/statistiques/8730497</t>
  </si>
  <si>
    <t xml:space="preserve">Champ et définition des pôles différents de l'Insee Première n° 1858.</t>
  </si>
  <si>
    <t xml:space="preserve">Taille moyenne d'un point de vente en pôle de périphérie</t>
  </si>
  <si>
    <t xml:space="preserve">m² de surface de vente</t>
  </si>
  <si>
    <t xml:space="preserve">Moyenne par point de vente ; 12 salariés en moyenne ; 26 établissements par pôle en moyenne.</t>
  </si>
  <si>
    <t xml:space="preserve">Taille moyenne d'un point de vente en pôle de centre-ville</t>
  </si>
  <si>
    <t xml:space="preserve">Moyenne par point de vente ; 3 salariés en moyenne ; 108 établissements par pôle en moyenne.</t>
  </si>
  <si>
    <t xml:space="preserve">Part des dépenses des Français en magasin réalisées dans les entrées de ville / zones commerciales</t>
  </si>
  <si>
    <t xml:space="preserve">s.d. (dossier 2023)</t>
  </si>
  <si>
    <t xml:space="preserve">Dépenses en magasin (hors internet). Centre-ville : 15 % ; espaces « interstices » (ruralité, banlieue dense) : 13 %.</t>
  </si>
  <si>
    <t xml:space="preserve">S08</t>
  </si>
  <si>
    <t xml:space="preserve">Gouvernement (ministères Économie, Transition écologique, Cohésion des territoires), Un nouvel horizon pour les zones commerciales, dossier de presse</t>
  </si>
  <si>
    <t xml:space="preserve">09/2023</t>
  </si>
  <si>
    <t xml:space="preserve">https://www.info.gouv.fr/upload/media/content/0001/07/2dc90efc2c1a0e97572bf027240fac63e4dc9d75.pdf</t>
  </si>
  <si>
    <t xml:space="preserve">La source statistique d'origine n'est pas donnée (renvoi en note non détaillé). Aussi relayé par LSA Conso (S44).</t>
  </si>
  <si>
    <t xml:space="preserve">Part des dépenses en magasin réalisées en centre-ville</t>
  </si>
  <si>
    <t xml:space="preserve">Même champ que la ligne précédente.</t>
  </si>
  <si>
    <t xml:space="preserve">Part du chiffre d'affaires du commerce de détail réalisée dans les lieux de commerce de périphérie</t>
  </si>
  <si>
    <t xml:space="preserve">% (plus de)</t>
  </si>
  <si>
    <t xml:space="preserve">s.d. (dossier 2025)</t>
  </si>
  <si>
    <t xml:space="preserve">Chiffre d'affaires du commerce de détail, selon Procos.</t>
  </si>
  <si>
    <t xml:space="preserve">S09</t>
  </si>
  <si>
    <t xml:space="preserve">Procos, Dossier de presse, conférence annuelle</t>
  </si>
  <si>
    <t xml:space="preserve">12/02/2025</t>
  </si>
  <si>
    <t xml:space="preserve">Fédération ou cabinet privé</t>
  </si>
  <si>
    <t xml:space="preserve">https://www.procos.org/images/procos/presse/2025/Conf_0225/procos_dp_120225_site.pdf</t>
  </si>
  <si>
    <t xml:space="preserve">Formulé « plus de 70 % » sans détail de méthode.</t>
  </si>
  <si>
    <t xml:space="preserve">Part de marché du commerce de détail des quelque 1 500 zones commerciales</t>
  </si>
  <si>
    <t xml:space="preserve">2020</t>
  </si>
  <si>
    <t xml:space="preserve">Parts de marché du commerce de détail (source Procos, 2020, citée par le Cerema).</t>
  </si>
  <si>
    <t xml:space="preserve">S03</t>
  </si>
  <si>
    <t xml:space="preserve">Cerema, Zones commerciales et centres-villes : trouver le bon équilibre</t>
  </si>
  <si>
    <t xml:space="preserve">s.d. (vers 2020-2021)</t>
  </si>
  <si>
    <t xml:space="preserve">https://www.cerema.fr/fr/actualites/zones-commerciales-centres-villes-trouver-bon-equilibre</t>
  </si>
  <si>
    <t xml:space="preserve">Lu sur la page Cerema ; la publication Procos d'origine n'a pas été consultée.</t>
  </si>
  <si>
    <t xml:space="preserve">Part des ventes du commerce de détail réalisées en périphérie</t>
  </si>
  <si>
    <t xml:space="preserve">2024</t>
  </si>
  <si>
    <t xml:space="preserve">Ensemble des ventes du commerce de détail, internet compris.</t>
  </si>
  <si>
    <t xml:space="preserve">S13</t>
  </si>
  <si>
    <t xml:space="preserve">Rexecode, Répartition des ventes du commerce de détail par lieu de vente, d'après Insee, Procos et Fevad</t>
  </si>
  <si>
    <t xml:space="preserve">Répartition : périphérie 67 %, centre-ville 11 %, proximité 11 %, internet 11 %.</t>
  </si>
  <si>
    <t xml:space="preserve">Part des ventes du commerce de détail réalisées en centre-ville</t>
  </si>
  <si>
    <t xml:space="preserve">Même champ (internet compris).</t>
  </si>
  <si>
    <t xml:space="preserve">Part des ventes du commerce de détail réalisées sur internet</t>
  </si>
  <si>
    <t xml:space="preserve">Même champ.</t>
  </si>
  <si>
    <t xml:space="preserve">Évolution des surfaces commerciales entre 2000 et 2020</t>
  </si>
  <si>
    <t xml:space="preserve">x 2</t>
  </si>
  <si>
    <t xml:space="preserve">multiplicateur</t>
  </si>
  <si>
    <t xml:space="preserve">2000-2020</t>
  </si>
  <si>
    <t xml:space="preserve">Doublement des surfaces commerciales sans hausse équivalente des dépenses des ménages (« obésité commerciale »).</t>
  </si>
  <si>
    <t xml:space="preserve">S22</t>
  </si>
  <si>
    <t xml:space="preserve">Sénat, mission conjointe de contrôle, Revitalisation des centres-villes et des centres-bourgs : entre enthousiasme et frustrations, rapport d'information n° 910 (2021-2022)</t>
  </si>
  <si>
    <t xml:space="preserve">Rapport institutionnel (Cour des comptes, Parlement, inspections, mission)</t>
  </si>
  <si>
    <t xml:space="preserve">https://www.senat.fr/rap/r21-910/r21-9109.html</t>
  </si>
  <si>
    <t xml:space="preserve">Seconde vérification (01/10/2026) : non retrouvé dans le chapitre consulté du rapport n° 910. Le rapport parle d'« obésité commerciale » en citant Pascal Madry (« il y a trop de m² en France »).</t>
  </si>
  <si>
    <t xml:space="preserve">Distance moyenne entre zones commerciales et centre-ville</t>
  </si>
  <si>
    <t xml:space="preserve">km</t>
  </si>
  <si>
    <t xml:space="preserve">Distance moyenne des plus de 1 500 zones aux centres-villes.</t>
  </si>
  <si>
    <t xml:space="preserve">S44</t>
  </si>
  <si>
    <t xml:space="preserve">LSA Conso, La périphérie urbaine aimante le commerce</t>
  </si>
  <si>
    <t xml:space="preserve">Presse / média spécialisé</t>
  </si>
  <si>
    <t xml:space="preserve">https://www.lsa-conso.fr/la-peripherie-urbaine-aimante-le-commerce,323561</t>
  </si>
  <si>
    <t xml:space="preserve">Article de presse ; méthode et source d'origine non identifiées.</t>
  </si>
  <si>
    <t xml:space="preserve">2. Centres-villes : emploi et établissements</t>
  </si>
  <si>
    <t xml:space="preserve">Croissance annuelle de l'emploi salarié dans les pôles de périphérie</t>
  </si>
  <si>
    <t xml:space="preserve">% par an</t>
  </si>
  <si>
    <t xml:space="preserve">2009-2015</t>
  </si>
  <si>
    <t xml:space="preserve">Emploi salarié du commerce de proximité dans les pôles de périphérie.</t>
  </si>
  <si>
    <t xml:space="preserve">Croissance annuelle de l'emploi salarié dans les pôles de centre-ville</t>
  </si>
  <si>
    <t xml:space="preserve">Même champ, pôles de centre-ville (« stabilité »).</t>
  </si>
  <si>
    <t xml:space="preserve">La note du CAE (S12) écrit « a baissé de 0,2 % » : l'Insee indique +0,2 %.</t>
  </si>
  <si>
    <t xml:space="preserve">Évolution annuelle de l'emploi du commerce de proximité hors pôles</t>
  </si>
  <si>
    <t xml:space="preserve">Commerces isolés, hors pôles commerciaux.</t>
  </si>
  <si>
    <t xml:space="preserve">Part des pôles de centre-ville où l'emploi salarié baisse</t>
  </si>
  <si>
    <t xml:space="preserve">Contre 23 % des pôles de périphérie.</t>
  </si>
  <si>
    <t xml:space="preserve">Part des pôles de périphérie où l'emploi salarié baisse</t>
  </si>
  <si>
    <t xml:space="preserve">EPCI où l'emploi des pôles de périphérie croît de plus de 1 %/an : part où l'emploi des centres-villes baisse de plus de 1 %/an</t>
  </si>
  <si>
    <t xml:space="preserve">Croisement par EPCI de l'évolution de l'emploi des pôles de périphérie et de centre-ville.</t>
  </si>
  <si>
    <t xml:space="preserve">Quand la périphérie recule d'au moins 1 %/an, la part est de 43 %.</t>
  </si>
  <si>
    <t xml:space="preserve">Pôles de centre-ville en baisse d'emploi dans les aires en recul démographique</t>
  </si>
  <si>
    <t xml:space="preserve">Pôles où l'emploi salarié « se replie nettement » ; 30 % dans les aires les plus dynamiques.</t>
  </si>
  <si>
    <t xml:space="preserve">Pour les pôles de périphérie : 27 % contre 18 %.</t>
  </si>
  <si>
    <t xml:space="preserve">Part des centres-villes de villes de taille intermédiaire (VTI) en baisse tendancielle d'emploi</t>
  </si>
  <si>
    <t xml:space="preserve">368 villes de taille intermédiaire</t>
  </si>
  <si>
    <t xml:space="preserve">Emploi salarié du commerce de proximité en centre-ville.</t>
  </si>
  <si>
    <t xml:space="preserve">S06</t>
  </si>
  <si>
    <t xml:space="preserve">Cazaubiel A. et Guymarc G. (Insee), Commerce de proximité dans les villes de taille intermédiaire, Insee Première n° 1782</t>
  </si>
  <si>
    <t xml:space="preserve">14/11/2019</t>
  </si>
  <si>
    <t xml:space="preserve">https://www.insee.fr/fr/statistiques/4248184</t>
  </si>
  <si>
    <t xml:space="preserve">Dans la moitié des VTI, la baisse dépasse 1,4 % par an.</t>
  </si>
  <si>
    <t xml:space="preserve">Établissements détruits chaque année dans les centres-villes des VTI</t>
  </si>
  <si>
    <t xml:space="preserve">établissements par an</t>
  </si>
  <si>
    <t xml:space="preserve">368 VTI</t>
  </si>
  <si>
    <t xml:space="preserve">Commerce de proximité, centres-villes.</t>
  </si>
  <si>
    <t xml:space="preserve">Dans le même temps, les agglomérations gagnent 100 établissements par an.</t>
  </si>
  <si>
    <t xml:space="preserve">Emplois salariés détruits chaque année dans les centres-villes des VTI</t>
  </si>
  <si>
    <t xml:space="preserve">emplois par an</t>
  </si>
  <si>
    <t xml:space="preserve">Dans le même temps, les agglomérations gagnent 1 600 salariés par an.</t>
  </si>
  <si>
    <t xml:space="preserve">Part des VTI où l'emploi baisse en centre-ville mais augmente dans l'agglomération</t>
  </si>
  <si>
    <t xml:space="preserve">Croissance annuelle de l'emploi salarié des points de vente, pôles de centre-ville</t>
  </si>
  <si>
    <t xml:space="preserve">2016-2022</t>
  </si>
  <si>
    <t xml:space="preserve">Points de vente aux ménages (commerce de détail, restauration, services).</t>
  </si>
  <si>
    <t xml:space="preserve">+1,0 % hors bassin de vie de Paris.</t>
  </si>
  <si>
    <t xml:space="preserve">Croissance annuelle de l'emploi salarié des points de vente, pôles de périphérie</t>
  </si>
  <si>
    <t xml:space="preserve">Même champ. Nombre d'établissements +1,7 %/an, surface de vente +1,3 %/an.</t>
  </si>
  <si>
    <t xml:space="preserve">Croissance annuelle de l'emploi salarié des points de vente hors pôles</t>
  </si>
  <si>
    <t xml:space="preserve">Contribution des pôles de périphérie à la hausse de l'emploi salarié des points de vente</t>
  </si>
  <si>
    <t xml:space="preserve">Hausse totale : +235 000 salariés (+1,5 %/an). Contribution des pôles de centre-ville : 28 %.</t>
  </si>
  <si>
    <t xml:space="preserve">Évolution annuelle de l'emploi salarié dans le commerce de détail d'habillement</t>
  </si>
  <si>
    <t xml:space="preserve">Ensemble des points de vente. Nombre d'établissements d'habillement : −14,9 % sur la période.</t>
  </si>
  <si>
    <t xml:space="preserve">Équipement de la personne hors biens médicaux : −1,6 %/an.</t>
  </si>
  <si>
    <t xml:space="preserve">Entreprises du commerce de proximité</t>
  </si>
  <si>
    <t xml:space="preserve">entreprises (environ)</t>
  </si>
  <si>
    <t xml:space="preserve">non précisée (rapport 2023)</t>
  </si>
  <si>
    <t xml:space="preserve">Champ de la Cour : commerces alimentaires spécialisés (épiceries, cavistes, primeurs), artisanat commercial (boulangeries, boucheries) et services (coiffure, soins). 1,1 million d'emplois salariés et non salariés ; 68 % sans salarié, 12 % avec plus de trois salariés ; chiffre d'affaires moyen de 223 000 €.</t>
  </si>
  <si>
    <t xml:space="preserve">S23</t>
  </si>
  <si>
    <t xml:space="preserve">Cour des comptes, La politique de l'État en faveur du commerce de proximité, rapport public thématique (période 2017-2022)</t>
  </si>
  <si>
    <t xml:space="preserve">29/09/2023</t>
  </si>
  <si>
    <t xml:space="preserve">https://www.ccomptes.fr/sites/default/files/2023-10/20230929-politiques-publiques-commerce-proximite.pdf</t>
  </si>
  <si>
    <t xml:space="preserve">Relu dans le rapport (p. 20-21). N'inclut pas l'ensemble du commerce de détail.</t>
  </si>
  <si>
    <t xml:space="preserve">Nombre d'établissements du petit commerce</t>
  </si>
  <si>
    <t xml:space="preserve">établissements</t>
  </si>
  <si>
    <t xml:space="preserve">2019</t>
  </si>
  <si>
    <t xml:space="preserve">Petit commerce au sens large du CAE (commerce de détail hors grandes surfaces, bars, restaurants, services aux ménages) ; environ 12 % de l'emploi total et 6 % du PIB.</t>
  </si>
  <si>
    <t xml:space="preserve">S12</t>
  </si>
  <si>
    <t xml:space="preserve">Allain M.-L. et Epaulard A. (CAE), Petits commerces : déclin ou mutation ?, Les notes du CAE n° 77</t>
  </si>
  <si>
    <t xml:space="preserve">05/2023</t>
  </si>
  <si>
    <t xml:space="preserve">Recherche académique / CAE</t>
  </si>
  <si>
    <t xml:space="preserve">https://www.cae-eco.fr/</t>
  </si>
  <si>
    <t xml:space="preserve">3. Centres-villes : vacance commerciale</t>
  </si>
  <si>
    <t xml:space="preserve">Taux de vacance commerciale en centre-ville</t>
  </si>
  <si>
    <t xml:space="preserve">2001</t>
  </si>
  <si>
    <t xml:space="preserve">187 centres-villes (panel CGEDD)</t>
  </si>
  <si>
    <t xml:space="preserve">Vacance commerciale, panel de 187 centres-villes.</t>
  </si>
  <si>
    <t xml:space="preserve">S18</t>
  </si>
  <si>
    <t xml:space="preserve">Public Sénat, citant un rapport du CGEDD (2016), Revitalisation des centres-villes : un rapport du Sénat pointe un sous-financement</t>
  </si>
  <si>
    <t xml:space="preserve">https://www.publicsenat.fr/actualites/territoires/revitalisation-des-centres-villes-un-rapport-du-senat-pointe-un-sous</t>
  </si>
  <si>
    <t xml:space="preserve">Seconde vérification (01/10/2026) : chiffre non retrouvé dans l'article de Public Sénat, qui mentionne seulement une hausse d'un point depuis 2019 dans les villes ACV.</t>
  </si>
  <si>
    <t xml:space="preserve">Idem.</t>
  </si>
  <si>
    <t xml:space="preserve">Part des centres-villes où la vacance augmente</t>
  </si>
  <si>
    <t xml:space="preserve">période d'étude du rapport (avant 2016)</t>
  </si>
  <si>
    <t xml:space="preserve">900 centres-villes</t>
  </si>
  <si>
    <t xml:space="preserve">Rapport interministériel CGEDD / IGF.</t>
  </si>
  <si>
    <t xml:space="preserve">S19</t>
  </si>
  <si>
    <t xml:space="preserve">CGEDD et IGF (cité par le Cerema), Rapport interministériel sur la revitalisation commerciale des centres-villes</t>
  </si>
  <si>
    <t xml:space="preserve">2016</t>
  </si>
  <si>
    <t xml:space="preserve">Seconde vérification (01/10/2026) : non retrouvé sur la page du Cerema citée ; origine à établir.</t>
  </si>
  <si>
    <t xml:space="preserve">Centres-villes des agglomérations de plus de 25 000 habitants</t>
  </si>
  <si>
    <t xml:space="preserve">Selon l'Institut pour la Ville et le Commerce ; hausse d'environ 1 point par an depuis 2010.</t>
  </si>
  <si>
    <t xml:space="preserve">S20</t>
  </si>
  <si>
    <t xml:space="preserve">Banque des Territoires, d'après l'Institut pour la Ville et le Commerce, Vacance commerciale : les remèdes de l'Institut pour la Ville et le Commerce</t>
  </si>
  <si>
    <t xml:space="preserve">https://www.banquedesterritoires.fr/vacance-commerciale-les-remedes-de-linstitut-pour-la-ville-et-le-commerce</t>
  </si>
  <si>
    <t xml:space="preserve">Seconde vérification (01/10/2026) : relu dans l'article (relais de l'IVC).</t>
  </si>
  <si>
    <t xml:space="preserve">Taux de vacance en centre-ville, villes de 50 000 à 100 000 habitants</t>
  </si>
  <si>
    <t xml:space="preserve">Villes de 50 000 à 100 000 habitants</t>
  </si>
  <si>
    <t xml:space="preserve">10,6 % en 2019. Panel Codata : 155 000 emplacements dans les centres-villes de 355 communes.</t>
  </si>
  <si>
    <t xml:space="preserve">S21</t>
  </si>
  <si>
    <t xml:space="preserve">Banque des Territoires (Localtis), d'après une étude de la FACT (01/12/2025), La progression de la vacance commerciale ralentit, surtout dans les villes moyennes</t>
  </si>
  <si>
    <t xml:space="preserve">02/12/2025</t>
  </si>
  <si>
    <t xml:space="preserve">https://www.banquedesterritoires.fr/la-progression-de-la-vacance-commerciale-ralentit-surtout-dans-les-villes-moyennes</t>
  </si>
  <si>
    <t xml:space="preserve">Seconde vérification (01/10/2026) : relu dans l'article. Les chiffres d'une version antérieure de cette page (métropoles, villes moyennes, petites villes) ont été retirés car introuvables.</t>
  </si>
  <si>
    <t xml:space="preserve">Part des villes ayant réduit leur vacance commerciale en centre-ville</t>
  </si>
  <si>
    <t xml:space="preserve">2019-2024</t>
  </si>
  <si>
    <t xml:space="preserve">355 communes suivies par Codata</t>
  </si>
  <si>
    <t xml:space="preserve">12 % entre 2014 et 2019. 48 % parmi les villes de 50 000 à 100 000 habitants.</t>
  </si>
  <si>
    <t xml:space="preserve">Seconde vérification (01/10/2026) : relu dans l'article.</t>
  </si>
  <si>
    <t xml:space="preserve">Taux de vacance moyen en centre-ville, villes de plus de 100 000 habitants</t>
  </si>
  <si>
    <t xml:space="preserve">Villes de plus de 100 000 habitants</t>
  </si>
  <si>
    <t xml:space="preserve">Contre 11 % pour l'ensemble des villes analysées ; hausse accélérée depuis 2019.</t>
  </si>
  <si>
    <t xml:space="preserve">Hausse de la vacance en centre-ville hors Île-de-France</t>
  </si>
  <si>
    <t xml:space="preserve">point</t>
  </si>
  <si>
    <t xml:space="preserve">France hors Île-de-France</t>
  </si>
  <si>
    <t xml:space="preserve">+3,2 points entre 2014 et 2019. En Île-de-France : +2,6 contre +1,5.</t>
  </si>
  <si>
    <t xml:space="preserve">Seconde vérification (01/10/2026) : relu. Selon l'étude, ni la démographie, ni l'offre touristique, ni la présence d'enseignes nationales n'expliquent ces évolutions.</t>
  </si>
  <si>
    <t xml:space="preserve">Taux de vacance dans les centres-villes Action Cœur de Ville</t>
  </si>
  <si>
    <t xml:space="preserve">Villes ACV</t>
  </si>
  <si>
    <t xml:space="preserve">13 % en 2020, en hausse de 1 % par rapport à 2019 (données ANCT).</t>
  </si>
  <si>
    <t xml:space="preserve">Seconde vérification (01/10/2026) : relu dans le rapport.</t>
  </si>
  <si>
    <t xml:space="preserve">Taux de vacance commerciale tous sites</t>
  </si>
  <si>
    <t xml:space="preserve">Codata Digest France (janvier 2025) : rues marchandes, centres commerciaux et zones commerciales. 9,73 % en 2023.</t>
  </si>
  <si>
    <t xml:space="preserve">La mission de 2025 (S27) attribue 10,64 % aux seuls centres-villes.</t>
  </si>
  <si>
    <t xml:space="preserve">Taux de vacance dans les rues marchandes (pied d'immeuble)</t>
  </si>
  <si>
    <t xml:space="preserve">Codata ; 9,73 % en 2023.</t>
  </si>
  <si>
    <t xml:space="preserve">Panel de 4 045 sites selon L'Échommerces (S15).</t>
  </si>
  <si>
    <t xml:space="preserve">Taux de vacance en pied d'immeuble de centre-ville</t>
  </si>
  <si>
    <t xml:space="preserve">2025</t>
  </si>
  <si>
    <t xml:space="preserve">Codata Digest 2026 ; 10,8 % en 2024.</t>
  </si>
  <si>
    <t xml:space="preserve">S14</t>
  </si>
  <si>
    <t xml:space="preserve">Codata, Codata Digest 2026 (relayé par L'Échommerces)</t>
  </si>
  <si>
    <t xml:space="preserve">2026</t>
  </si>
  <si>
    <t xml:space="preserve">Seconde vérification (01/10/2026) : le lien précédemment associé renvoyait à un article de 2025 ; publication d'origine à retrouver.</t>
  </si>
  <si>
    <t xml:space="preserve">2022 (chiffres Procos)</t>
  </si>
  <si>
    <t xml:space="preserve">Valeur donnée « par exemple » pour comparer avec les zones commerciales (9 %).</t>
  </si>
  <si>
    <t xml:space="preserve">Taux de vacance commerciale national</t>
  </si>
  <si>
    <t xml:space="preserve">« La vacance commerciale a doublé en dix ans, atteignant 14 % en 2024 » ; champ non précisé.</t>
  </si>
  <si>
    <t xml:space="preserve">S28</t>
  </si>
  <si>
    <t xml:space="preserve">Direction générale des Entreprises, Mission sur l'avenir du commerce de proximité : neuf mesures retenues</t>
  </si>
  <si>
    <t xml:space="preserve">11/2025</t>
  </si>
  <si>
    <t xml:space="preserve">https://www.entreprises.gouv.fr/la-dge/actualites/mission-sur-lavenir-du-commerce-de-proximite-neuf-mesures-retenues-pour</t>
  </si>
  <si>
    <t xml:space="preserve">Seconde vérification (01/10/2026) : chiffre du communiqué de la DGE ; il ne figure pas tel quel dans le rapport de la mission.</t>
  </si>
  <si>
    <t xml:space="preserve">Taux de vacance commerciale dans les centres-villes</t>
  </si>
  <si>
    <t xml:space="preserve">Centres-villes</t>
  </si>
  <si>
    <t xml:space="preserve">9,73 % en 2023 ; plus de 16 % dans les galeries marchandes.</t>
  </si>
  <si>
    <t xml:space="preserve">S27</t>
  </si>
  <si>
    <t xml:space="preserve">Mission sur l'avenir du commerce de proximité (rapport remis au Gouvernement), Rapport sur l'avenir du commerce de proximité dans les centres-villes et les QPV</t>
  </si>
  <si>
    <t xml:space="preserve">05/11/2025</t>
  </si>
  <si>
    <t xml:space="preserve">https://www.banquedesterritoires.fr/sites/default/files/2025-11/Rapport-mission-commerce-de-proximite-centres-villes-QPVf.pdf</t>
  </si>
  <si>
    <t xml:space="preserve">Seconde vérification (01/10/2026) : relu dans le rapport de la mission.</t>
  </si>
  <si>
    <t xml:space="preserve">Part des boutiques fermées en centre-ville</t>
  </si>
  <si>
    <t xml:space="preserve">1 sur 10</t>
  </si>
  <si>
    <t xml:space="preserve">ratio</t>
  </si>
  <si>
    <t xml:space="preserve">Formulation du communiqué de la DGE sur la mission.</t>
  </si>
  <si>
    <t xml:space="preserve">Seconde vérification (01/10/2026) : formule non retrouvée dans le communiqué de la DGE ni dans le rapport de la mission.</t>
  </si>
  <si>
    <t xml:space="preserve">Taux de vacance dans les villes Action Cœur de Ville</t>
  </si>
  <si>
    <t xml:space="preserve">2023</t>
  </si>
  <si>
    <t xml:space="preserve">Baromètre Codata / FACT 2024 : 13,4 % en 2023 contre 12,5 % en 2022 ; hors ACV, 7,7 % en 2023 contre 7,4 % en 2022.</t>
  </si>
  <si>
    <t xml:space="preserve">S17</t>
  </si>
  <si>
    <t xml:space="preserve">Points de Vente, d'après le baromètre Codata / FACT, La hausse de la vacance commerciale reprend dans les centres-villes</t>
  </si>
  <si>
    <t xml:space="preserve">23/05/2024</t>
  </si>
  <si>
    <t xml:space="preserve">https://pointsdevente.fr/fil-info/2024-05-23-la-hausse-de-la-vacance-commerciale-reprend-dans-les-centres-villes/</t>
  </si>
  <si>
    <t xml:space="preserve">Seconde vérification (01/10/2026) : année corrigée (2023 et non 2024), relu dans l'article.</t>
  </si>
  <si>
    <t xml:space="preserve">Taux de vacance commerciale moyen, toutes communes</t>
  </si>
  <si>
    <t xml:space="preserve">Baromètre Codata / FACT ; 9,22 % en 2022.</t>
  </si>
  <si>
    <t xml:space="preserve">Seconde vérification (01/10/2026) : chiffre non retrouvé dans l'article cité.</t>
  </si>
  <si>
    <t xml:space="preserve">Étude Codata / FACT : pic à 14,5 % en 2020 (7,6 % hors ACV), puis 12,5 % en 2022 contre 7,39 % hors ACV ; baisse de 1,7 point depuis 2020 (−0,3 point hors ACV).</t>
  </si>
  <si>
    <t xml:space="preserve">S16</t>
  </si>
  <si>
    <t xml:space="preserve">Codata, Quel bilan tirer du plan ACV sur la vacance commerciale des centres-villes de villes moyennes ? (étude Codata / FACT)</t>
  </si>
  <si>
    <t xml:space="preserve">s.d. (données 2018-2022)</t>
  </si>
  <si>
    <t xml:space="preserve">https://www.codata.eu/blog/quel-bilan-tirer-du-plan-acv-sur-la-vacance-commerciale-des-centres-villes-de-villes-moyennes/</t>
  </si>
  <si>
    <t xml:space="preserve">Seconde vérification (01/10/2026) : relu. L'étude n'observe « pas ou peu de relation » entre vacance, dynamique démographique et revenu.</t>
  </si>
  <si>
    <t xml:space="preserve">Taux de vacance à Vierzon</t>
  </si>
  <si>
    <t xml:space="preserve">2018</t>
  </si>
  <si>
    <t xml:space="preserve">Vierzon (centre-ville)</t>
  </si>
  <si>
    <t xml:space="preserve">22,2 % en 2022.</t>
  </si>
  <si>
    <t xml:space="preserve">Taux de vacance à Calais</t>
  </si>
  <si>
    <t xml:space="preserve">Calais (centre-ville)</t>
  </si>
  <si>
    <t xml:space="preserve">14 % en 2022 (−7,7 points).</t>
  </si>
  <si>
    <t xml:space="preserve">Seconde vérification (01/10/2026) : valeur corrigée (21,7 %).</t>
  </si>
  <si>
    <t xml:space="preserve">Taux de vacance à Bagnols-sur-Cèze</t>
  </si>
  <si>
    <t xml:space="preserve">Bagnols-sur-Cèze (centre-ville)</t>
  </si>
  <si>
    <t xml:space="preserve">14,3 % en 2022.</t>
  </si>
  <si>
    <t xml:space="preserve">Taux de vacance par région, le plus élevé (Occitanie)</t>
  </si>
  <si>
    <t xml:space="preserve">Occitanie</t>
  </si>
  <si>
    <t xml:space="preserve">Codata. Le plus faible : Bretagne, 8,92 %.</t>
  </si>
  <si>
    <t xml:space="preserve">Taux de vacance commerciale en centre-ville (moyenne)</t>
  </si>
  <si>
    <t xml:space="preserve">Taux de locaux commerciaux inoccupés ; 7 % en 2012.</t>
  </si>
  <si>
    <t xml:space="preserve">Relu dans le rapport (p. 22) ; le panel de mesure n'est pas précisé dans ce passage.</t>
  </si>
  <si>
    <t xml:space="preserve">Villes dont la vacance commerciale dépasse 20 %</t>
  </si>
  <si>
    <t xml:space="preserve">villes (près de)</t>
  </si>
  <si>
    <t xml:space="preserve">12 villes dépassent 25 %. La vacance « frictionnelle » est estimée à 6 %. Ces villes se situent surtout dans les départements en recul démographique.</t>
  </si>
  <si>
    <t xml:space="preserve">Relu dans le rapport (p. 23).</t>
  </si>
  <si>
    <t xml:space="preserve">Part des communes Action Cœur de Ville dont la vacance s'est dégradée</t>
  </si>
  <si>
    <t xml:space="preserve">% (environ)</t>
  </si>
  <si>
    <t xml:space="preserve">2021-2022</t>
  </si>
  <si>
    <t xml:space="preserve">Communes ACV</t>
  </si>
  <si>
    <t xml:space="preserve">Alors que la vacance moyenne des villes ACV baisse plus vite que dans les autres villes moyennes.</t>
  </si>
  <si>
    <t xml:space="preserve">Relu dans le rapport (p. 12, synthèse).</t>
  </si>
  <si>
    <t xml:space="preserve">Taux de vacance commerciale tous formats</t>
  </si>
  <si>
    <t xml:space="preserve">10,7 % en 2024.</t>
  </si>
  <si>
    <t xml:space="preserve">S53</t>
  </si>
  <si>
    <t xml:space="preserve">Cour des comptes (RPA 2026, via synthèse), Rapport public annuel 2026 : cohésion territoriale et attractivité des territoires</t>
  </si>
  <si>
    <t xml:space="preserve">https://www.ccomptes.fr/fr/publications/le-rapport-public-annuel-2026</t>
  </si>
  <si>
    <t xml:space="preserve">Chiffre lu dans une synthèse automatique du RPA 2026 ; à vérifier dans le rapport.</t>
  </si>
  <si>
    <t xml:space="preserve">4. Fréquentation, consommation, offre</t>
  </si>
  <si>
    <t xml:space="preserve">Évolution de la fréquentation des magasins en centre-ville</t>
  </si>
  <si>
    <t xml:space="preserve">% sur un an</t>
  </si>
  <si>
    <t xml:space="preserve">2024 vs 2023</t>
  </si>
  <si>
    <t xml:space="preserve">Observatoire de la fréquentation Procos / Stackr.</t>
  </si>
  <si>
    <t xml:space="preserve">Périphérie −1,2 % ; centres commerciaux −0,8 % ; ensemble −1,6 %.</t>
  </si>
  <si>
    <t xml:space="preserve">Évolution de la fréquentation des magasins en périphérie</t>
  </si>
  <si>
    <t xml:space="preserve">Évolution de la fréquentation des magasins, ensemble</t>
  </si>
  <si>
    <t xml:space="preserve">Idem ; −2,3 % en 2023 selon nos notes.</t>
  </si>
  <si>
    <t xml:space="preserve">Part de marché du commerce de proximité dans l'alimentaire</t>
  </si>
  <si>
    <t xml:space="preserve">2017</t>
  </si>
  <si>
    <t xml:space="preserve">22 % en 1993 ; baisse au bénéfice de la grande distribution.</t>
  </si>
  <si>
    <t xml:space="preserve">Relu dans le rapport (p. 21).</t>
  </si>
  <si>
    <t xml:space="preserve">2021</t>
  </si>
  <si>
    <t xml:space="preserve">Remontée après 2017 ; les hypermarchés restent le premier lieu d'achat.</t>
  </si>
  <si>
    <t xml:space="preserve">Part des ventes en ligne dans le commerce de détail</t>
  </si>
  <si>
    <t xml:space="preserve">Ventes en ligne de produits et services ; 146,9 milliards d'euros en 2022.</t>
  </si>
  <si>
    <t xml:space="preserve">Relu dans le rapport (p. 56). Champ différent du chiffre Fevad cité par le CAE (14,1 % en 2021).</t>
  </si>
  <si>
    <t xml:space="preserve">Part des communes sans aucun commerce de détail</t>
  </si>
  <si>
    <t xml:space="preserve">53 % en 2010.</t>
  </si>
  <si>
    <t xml:space="preserve">Relu dans le rapport (p. 68), d'après l'Insee.</t>
  </si>
  <si>
    <t xml:space="preserve">Population à plus de 7 minutes de trajet motorisé d'une petite surface alimentaire</t>
  </si>
  <si>
    <t xml:space="preserve">non précisée</t>
  </si>
  <si>
    <t xml:space="preserve">Près de 6 millions de personnes.</t>
  </si>
  <si>
    <t xml:space="preserve">Population ayant un faible accès au commerce spécialisé</t>
  </si>
  <si>
    <t xml:space="preserve">non précisée (études Insee)</t>
  </si>
  <si>
    <t xml:space="preserve">Communes en périphérie des moyens et petits pôles</t>
  </si>
  <si>
    <t xml:space="preserve">Entre 70 % et 80 % des habitants de ces communes ; habillement, loisirs, culture, sport, alimentation spécialisée.</t>
  </si>
  <si>
    <t xml:space="preserve">Relu dans le rapport (p. 69), d'après l'Insee.</t>
  </si>
  <si>
    <t xml:space="preserve">Poids des secteurs fragilisés (avant ou pendant la crise sanitaire) dans l'offre de nombreux centres-villes</t>
  </si>
  <si>
    <t xml:space="preserve">40 à 60</t>
  </si>
  <si>
    <t xml:space="preserve">2020-2021</t>
  </si>
  <si>
    <t xml:space="preserve">Prêt-à-porter, jouet, culture-loisirs, restaurants, bars, souvenirs, « souvent avec une surreprésentation de TPE et d'indépendants ».</t>
  </si>
  <si>
    <t xml:space="preserve">Seconde vérification (01/10/2026) : intitulé corrigé : le rapport ne parle pas du seul équipement de la personne.</t>
  </si>
  <si>
    <t xml:space="preserve">Part de l'habillement dans l'offre en pied d'immeuble</t>
  </si>
  <si>
    <t xml:space="preserve">20,92 % en 2015. Les cafés-hôtels-restaurants montent à 21,67 % de l'offre.</t>
  </si>
  <si>
    <t xml:space="preserve">S15</t>
  </si>
  <si>
    <t xml:space="preserve">L'Échommerces, d'après Codata, La vacance commerciale progresse de nouveau en France</t>
  </si>
  <si>
    <t xml:space="preserve">https://lechommerces.fr/la-vacance-commerciale-progresse-de-nouveau-en-france/</t>
  </si>
  <si>
    <t xml:space="preserve">Établissements perdus par l'équipement de la personne en dix ans</t>
  </si>
  <si>
    <t xml:space="preserve">environ 2016-2026</t>
  </si>
  <si>
    <t xml:space="preserve">Équipement de la personne.</t>
  </si>
  <si>
    <t xml:space="preserve">S11</t>
  </si>
  <si>
    <t xml:space="preserve">Icade et SCET, Baromètre des entrées de ville, 2e édition : cap sur les projets</t>
  </si>
  <si>
    <t xml:space="preserve">09/2026</t>
  </si>
  <si>
    <t xml:space="preserve">https://www.icade.fr/content/download/7372/file/barom%C3%A8tre-entr%C3%A9es-de-ville-2e-edition-cap-sur-projets.pdf</t>
  </si>
  <si>
    <t xml:space="preserve">Seconde vérification (01/10/2026) : relu (p. 61 du baromètre), qui cite la revue Urbanisme n° 448, avril 2026.</t>
  </si>
  <si>
    <t xml:space="preserve">Part du e-commerce dans le commerce de détail</t>
  </si>
  <si>
    <t xml:space="preserve">Estimation Fevad citée par le CAE ; 129 milliards d'euros dépensés en ligne en 2021 (biens et services).</t>
  </si>
  <si>
    <t xml:space="preserve">5. QPV : commerce et contexte</t>
  </si>
  <si>
    <t xml:space="preserve">Nombre de QPV en métropole</t>
  </si>
  <si>
    <t xml:space="preserve">quartiers</t>
  </si>
  <si>
    <t xml:space="preserve">01/01/2025</t>
  </si>
  <si>
    <t xml:space="preserve">Géographie prioritaire actualisée au 1er janvier 2024 en métropole ; 247 quartiers en outre-mer (actualisés au 1er janvier 2025).</t>
  </si>
  <si>
    <t xml:space="preserve">S33</t>
  </si>
  <si>
    <t xml:space="preserve">ANCT, Quartiers prioritaires de la politique de la ville</t>
  </si>
  <si>
    <t xml:space="preserve">https://anct.gouv.fr/quartiers-prioritaires</t>
  </si>
  <si>
    <t xml:space="preserve">Population des QPV</t>
  </si>
  <si>
    <t xml:space="preserve">millions d'habitants (plus de)</t>
  </si>
  <si>
    <t xml:space="preserve">Seconde vérification (01/10/2026) : non retrouvé sur la page de l'ANCT citée.</t>
  </si>
  <si>
    <t xml:space="preserve">Taux de chômage en QPV</t>
  </si>
  <si>
    <t xml:space="preserve">QPV</t>
  </si>
  <si>
    <t xml:space="preserve">7,5 % dans les unités urbaines englobantes ; 25 % en 2014.</t>
  </si>
  <si>
    <t xml:space="preserve">S31</t>
  </si>
  <si>
    <t xml:space="preserve">Observatoire des inégalités, d'après l'ONPV, Le chômage dans les quartiers prioritaires</t>
  </si>
  <si>
    <t xml:space="preserve">s.d. (données 2022)</t>
  </si>
  <si>
    <t xml:space="preserve">https://www.inegalites.fr/Chomage-QPV</t>
  </si>
  <si>
    <t xml:space="preserve">Moins de 30 ans : 26 % contre 13,5 %. Seconde vérification (01/10/2026) : page non lisible automatiquement ; à recouper avec les publications de l'ONPV ou de l'Insee.</t>
  </si>
  <si>
    <t xml:space="preserve">Taux de pauvreté en QPV</t>
  </si>
  <si>
    <t xml:space="preserve">2,5 fois le taux des villes qui les abritent.</t>
  </si>
  <si>
    <t xml:space="preserve">S32</t>
  </si>
  <si>
    <t xml:space="preserve">Observatoire des inégalités, d'après l'Insee, Les revenus et la pauvreté dans les quartiers les plus en difficulté</t>
  </si>
  <si>
    <t xml:space="preserve">s.d. (données 2021)</t>
  </si>
  <si>
    <t xml:space="preserve">https://www.inegalites.fr/Les-revenus-et-la-pauvrete-dans-les-quartiers-les-plus-en-difficulte</t>
  </si>
  <si>
    <t xml:space="preserve">Seconde vérification (01/10/2026) : page non lisible automatiquement ; à recouper avec les publications de l'ONPV ou de l'Insee.</t>
  </si>
  <si>
    <t xml:space="preserve">Niveau de vie médian en QPV</t>
  </si>
  <si>
    <t xml:space="preserve">€ par mois</t>
  </si>
  <si>
    <t xml:space="preserve">1 900 € dans le reste des agglomérations englobantes.</t>
  </si>
  <si>
    <t xml:space="preserve">Évolution du nombre d'entreprises en QPV</t>
  </si>
  <si>
    <t xml:space="preserve">x 2 (presque)</t>
  </si>
  <si>
    <t xml:space="preserve">5 ans avant 2023</t>
  </si>
  <si>
    <t xml:space="preserve">Toutes entreprises ; secteurs les plus représentés : commerce, transport, construction.</t>
  </si>
  <si>
    <t xml:space="preserve">S30</t>
  </si>
  <si>
    <t xml:space="preserve">ONPV / ANCT, Comprendre le tissu économique en QPV : une hausse du nombre d'entreprises</t>
  </si>
  <si>
    <t xml:space="preserve">https://www.onpv.fr/uploads/media_items/onpv-dossier-entreprises-2023.original.pdf</t>
  </si>
  <si>
    <t xml:space="preserve">Part du commerce de détail dans les établissements des QPV</t>
  </si>
  <si>
    <t xml:space="preserve">01/01/2021</t>
  </si>
  <si>
    <t xml:space="preserve">QPV de métropole</t>
  </si>
  <si>
    <t xml:space="preserve">18,2 % dans les QPV des DROM.</t>
  </si>
  <si>
    <t xml:space="preserve">Part du commerce de détail dans les créations d'établissements en QPV</t>
  </si>
  <si>
    <t xml:space="preserve">Sur 92 590 nouveaux établissements.</t>
  </si>
  <si>
    <t xml:space="preserve">Opérations ANRU consacrées au commerce de proximité</t>
  </si>
  <si>
    <t xml:space="preserve">opérations</t>
  </si>
  <si>
    <t xml:space="preserve">s.d. (NPNRU)</t>
  </si>
  <si>
    <t xml:space="preserve">QPV en renouvellement urbain</t>
  </si>
  <si>
    <t xml:space="preserve">Dotation ANRU de 322 M€ et cofinancement de 67 M€.</t>
  </si>
  <si>
    <t xml:space="preserve">S34</t>
  </si>
  <si>
    <t xml:space="preserve">ANRU, Le commerce dans les quartiers prioritaires en renouvellement urbain</t>
  </si>
  <si>
    <t xml:space="preserve">https://www.anru.fr/la-docutheque/le-commerce-dans-les-quartiers-prioritaires-en-renouvellement-urbain</t>
  </si>
  <si>
    <t xml:space="preserve">Centres commerciaux ou pôles artisanaux restructurés par l'EPARECA</t>
  </si>
  <si>
    <t xml:space="preserve">(plus de)</t>
  </si>
  <si>
    <t xml:space="preserve">depuis 2001</t>
  </si>
  <si>
    <t xml:space="preserve">Opérateur public créé en 1996, intégré depuis à l'ANCT.</t>
  </si>
  <si>
    <t xml:space="preserve">S46</t>
  </si>
  <si>
    <t xml:space="preserve">EPARECA / LSA Conso ; CGET, L'Epareca aide les quartiers sensibles ; De nouvelles opérations pour le commerce et l'artisanat en QPV</t>
  </si>
  <si>
    <t xml:space="preserve">https://www.lsa-conso.fr/l-epareca-aide-les-quartiers-sensibles,34533</t>
  </si>
  <si>
    <t xml:space="preserve">Coût d'une restructuration de centre commercial en QPV (Le Mans)</t>
  </si>
  <si>
    <t xml:space="preserve">€</t>
  </si>
  <si>
    <t xml:space="preserve">2023-2025</t>
  </si>
  <si>
    <t xml:space="preserve">Le Mans</t>
  </si>
  <si>
    <t xml:space="preserve">Financement : Le Mans Métropole 1 254 750 €, ANCT 1 203 491 €, ANRU 1 058 131 €, FRLA 695 728 €.</t>
  </si>
  <si>
    <t xml:space="preserve">S47</t>
  </si>
  <si>
    <t xml:space="preserve">ANCT, Dossier de presse, restructuration d'un centre commercial en QPV au Mans</t>
  </si>
  <si>
    <t xml:space="preserve">10/2024</t>
  </si>
  <si>
    <t xml:space="preserve">https://media.anct.gouv.fr/s3fs-public/2024-10/DP_ANCT_LE%20MANS_2024_v4%20(7).pdf</t>
  </si>
  <si>
    <t xml:space="preserve">6. Autorisations CDAC / CNAC</t>
  </si>
  <si>
    <t xml:space="preserve">Surface de vente autorisée par les CDAC</t>
  </si>
  <si>
    <t xml:space="preserve">m²</t>
  </si>
  <si>
    <t xml:space="preserve">Autorisations et avis favorables des CDAC (tableau 1).</t>
  </si>
  <si>
    <t xml:space="preserve">S10</t>
  </si>
  <si>
    <t xml:space="preserve">CNAC / Direction générale des Entreprises, Rapport d'activité 2024 de la Commission nationale d'aménagement commercial</t>
  </si>
  <si>
    <t xml:space="preserve">https://www.entreprises.gouv.fr/files/files/Publications/2025/rapports-activite/ra-cnac-2024.pdf</t>
  </si>
  <si>
    <t xml:space="preserve">Idem ; 338 autorisations, taux d'autorisation 88 %.</t>
  </si>
  <si>
    <t xml:space="preserve">Surface de vente examinée par les CDAC</t>
  </si>
  <si>
    <t xml:space="preserve">Autorisations + refus (384 dossiers) ; 878 373 m² en 2022.</t>
  </si>
  <si>
    <t xml:space="preserve">Surface de vente examinée par la CNAC</t>
  </si>
  <si>
    <t xml:space="preserve">487 999 m² en 2023 (−52 %) ; 145 avis ou décisions contre 181.</t>
  </si>
  <si>
    <t xml:space="preserve">Surface moyenne examinée : 1 620 m² (2 696 m² en 2023).</t>
  </si>
  <si>
    <t xml:space="preserve">Surface de vente autorisée par la CNAC</t>
  </si>
  <si>
    <t xml:space="preserve">318 032 m² en 2023 (tableau 2).</t>
  </si>
  <si>
    <t xml:space="preserve">Projets examinés par la CNAC susceptibles d'artificialiser les sols</t>
  </si>
  <si>
    <t xml:space="preserve">dossiers</t>
  </si>
  <si>
    <t xml:space="preserve">Pour 199 045 m² (117 625 m² en 2023). 12 autorisés (115 375 m²), 17 refusés (83 668 m²).</t>
  </si>
  <si>
    <t xml:space="preserve">Surface désartificialisée par les projets autorisés en CNAC</t>
  </si>
  <si>
    <t xml:space="preserve">31 dossiers proposant une désartificialisation volontaire et ayant reçu un avis favorable.</t>
  </si>
  <si>
    <t xml:space="preserve">Surfaces autorisées en CDAC (série Kyris / Procos)</t>
  </si>
  <si>
    <t xml:space="preserve">Hors retraits de dossiers et non-lieux. 703 dossiers autorisés sur 813.</t>
  </si>
  <si>
    <t xml:space="preserve">Champ différent du rapport CNAC (S10).</t>
  </si>
  <si>
    <t xml:space="preserve">Idem ; 355 dossiers autorisés sur 406 ; « −67 % depuis 2019, 7 fois moins qu'en 2011 ».</t>
  </si>
  <si>
    <t xml:space="preserve">Série 2020-2023 : 0,62 / 0,55 / 0,82 / 0,72.</t>
  </si>
  <si>
    <t xml:space="preserve">Surface moyenne des dossiers autorisés en CDAC</t>
  </si>
  <si>
    <t xml:space="preserve">Série Kyris / Procos.</t>
  </si>
  <si>
    <t xml:space="preserve">Surface moyenne des projets en stock : 5 000 m² (14 000 m² en 2014).</t>
  </si>
  <si>
    <t xml:space="preserve">Surfaces de plancher commercial autorisées (permis de construire)</t>
  </si>
  <si>
    <t xml:space="preserve">Sitadel2 (toutes autorisations de surfaces commerciales, pas seulement CDAC) ; 4,1 en 2023, 4,4 en 2022.</t>
  </si>
  <si>
    <t xml:space="preserve">Surfaces commencées : 2,2 millions de m² en 2024.</t>
  </si>
  <si>
    <t xml:space="preserve">Surfaces de vente terminées (projets des grands promoteurs) sur 5 ans</t>
  </si>
  <si>
    <t xml:space="preserve">2020-2024</t>
  </si>
  <si>
    <t xml:space="preserve">376 projets (4 720 m² en moyenne), hors alimentaire, restauration et loisirs ; 5,4 millions de m² et 518 projets cinq ans plus tôt.</t>
  </si>
  <si>
    <t xml:space="preserve">Surface de vente autorisée en CDAC</t>
  </si>
  <si>
    <t xml:space="preserve">m² (environ)</t>
  </si>
  <si>
    <t xml:space="preserve">643 projets autorisés en 2017 (contre 389 en 2023).</t>
  </si>
  <si>
    <t xml:space="preserve">S40</t>
  </si>
  <si>
    <t xml:space="preserve">Banque des Territoires, 2023, année de transition de l'aménagement commercial ?</t>
  </si>
  <si>
    <t xml:space="preserve">https://www.banquedesterritoires.fr/2023-annee-de-transition-de-lamenagement-commercial</t>
  </si>
  <si>
    <t xml:space="preserve">Seconde vérification (01/10/2026) : intitulé corrigé : l'article parle de surfaces autorisées.</t>
  </si>
  <si>
    <t xml:space="preserve">Surface autorisée en CDAC</t>
  </si>
  <si>
    <t xml:space="preserve">389 projets autorisés ; la CNAC a « repêché » 56 % des projets refusés en CDAC.</t>
  </si>
  <si>
    <t xml:space="preserve">Seconde vérification (01/10/2026) : relu dans l'article. Diffère du tableau 1 du rapport CNAC 2024 (625 386 m²).</t>
  </si>
  <si>
    <t xml:space="preserve">Surface dont l'artificialisation a été évitée par des refus de la CNAC</t>
  </si>
  <si>
    <t xml:space="preserve">29 projets rejetés, effet attribué au décret du 13 octobre 2022.</t>
  </si>
  <si>
    <t xml:space="preserve">Seconde vérification (01/10/2026) : l'article parle de « l'équivalent de 13 stades de rugby » ; la valeur en m² vient de nos notes et reste à vérifier dans le rapport CNAC 2023.</t>
  </si>
  <si>
    <t xml:space="preserve">7. Cadre réglementaire (seuils)</t>
  </si>
  <si>
    <t xml:space="preserve">Seuil d'autorisation commerciale, loi Royer</t>
  </si>
  <si>
    <t xml:space="preserve">m² (1 500 m² dans les villes &gt; 40 000 hab.)</t>
  </si>
  <si>
    <t xml:space="preserve">1973</t>
  </si>
  <si>
    <t xml:space="preserve">Surface de vente au-delà de laquelle une autorisation est requise.</t>
  </si>
  <si>
    <t xml:space="preserve">S45</t>
  </si>
  <si>
    <t xml:space="preserve">Légifrance, Lois n° 73-1193 (Royer), 96-603 (Raffarin), 2008-776 (LME), 2018-1021 (ELAN), 2021-1104 (Climat et résilience) ; décret du 13/10/2022</t>
  </si>
  <si>
    <t xml:space="preserve">1973-2022</t>
  </si>
  <si>
    <t xml:space="preserve">Texte juridique</t>
  </si>
  <si>
    <t xml:space="preserve">https://www.legifrance.gouv.fr</t>
  </si>
  <si>
    <t xml:space="preserve">Vérifier sur Légifrance (loi n° 73-1193).</t>
  </si>
  <si>
    <t xml:space="preserve">Seuil d'autorisation commerciale, loi Raffarin</t>
  </si>
  <si>
    <t xml:space="preserve">1996</t>
  </si>
  <si>
    <t xml:space="preserve">Abaissement du seuil.</t>
  </si>
  <si>
    <t xml:space="preserve">Loi n° 96-603.</t>
  </si>
  <si>
    <t xml:space="preserve">Seuil d'autorisation commerciale, loi LME</t>
  </si>
  <si>
    <t xml:space="preserve">2008</t>
  </si>
  <si>
    <t xml:space="preserve">Relèvement du seuil ; création des CDAC.</t>
  </si>
  <si>
    <t xml:space="preserve">Loi n° 2008-776.</t>
  </si>
  <si>
    <t xml:space="preserve">Durée de suspension possible des projets en périphérie d'une ORT (loi ELAN, art. 157)</t>
  </si>
  <si>
    <t xml:space="preserve">ans (+1 renouvelable)</t>
  </si>
  <si>
    <t xml:space="preserve">2018 (application 07/2019)</t>
  </si>
  <si>
    <t xml:space="preserve">Communes en ORT</t>
  </si>
  <si>
    <t xml:space="preserve">Le préfet peut suspendre l'examen en CDAC des projets situés hors des périmètres de l'ORT.</t>
  </si>
  <si>
    <t xml:space="preserve">Loi n° 2018-1021 ; décret du 26 juillet 2019.</t>
  </si>
  <si>
    <t xml:space="preserve">Seuil au-delà duquel aucune dérogation n'est possible pour un projet artificialisant (loi Climat et résilience)</t>
  </si>
  <si>
    <t xml:space="preserve">Art. 215 ; entre 3 000 et 10 000 m², dérogation soumise à l'accord du préfet.</t>
  </si>
  <si>
    <t xml:space="preserve">Loi n° 2021-1104.</t>
  </si>
  <si>
    <t xml:space="preserve">Date d'obligation d'examen du critère d'artificialisation par les commissions</t>
  </si>
  <si>
    <t xml:space="preserve">année (15 octobre)</t>
  </si>
  <si>
    <t xml:space="preserve">Décret d'application du 13 octobre 2022.</t>
  </si>
  <si>
    <t xml:space="preserve">8. Artificialisation et foncier</t>
  </si>
  <si>
    <t xml:space="preserve">Consommation d'espaces naturels, agricoles et forestiers</t>
  </si>
  <si>
    <t xml:space="preserve">ha</t>
  </si>
  <si>
    <t xml:space="preserve">Tous usages ; plus bas niveau depuis le début du suivi (2011).</t>
  </si>
  <si>
    <t xml:space="preserve">S41</t>
  </si>
  <si>
    <t xml:space="preserve">CGDD / Cerema, Portail de l'artificialisation : consommation d'espaces naturels, agricoles et forestiers 2011-2025</t>
  </si>
  <si>
    <t xml:space="preserve">https://artificialisation.developpement-durable.gouv.fr/actualites/parution-des-donnees-consommation-despaces-naturels-agricoles-et-forestiers-2011-2025</t>
  </si>
  <si>
    <t xml:space="preserve">Consommation moyenne annuelle d'espaces naturels, agricoles et forestiers</t>
  </si>
  <si>
    <t xml:space="preserve">ha par an</t>
  </si>
  <si>
    <t xml:space="preserve">2009-2023</t>
  </si>
  <si>
    <t xml:space="preserve">France (DOM compris)</t>
  </si>
  <si>
    <t xml:space="preserve">Cerema, rapport « Analyse de la consommation d'espaces », mai 2024.</t>
  </si>
  <si>
    <t xml:space="preserve">Cité dans le rapport CNAC 2024.</t>
  </si>
  <si>
    <t xml:space="preserve">Surface artificialisée</t>
  </si>
  <si>
    <t xml:space="preserve">Tous usages ; 63 % habitat, 23 % activité économique (commerce compris).</t>
  </si>
  <si>
    <t xml:space="preserve">S42</t>
  </si>
  <si>
    <t xml:space="preserve">Cerema, Artificialisation des sols : quelle dynamique ? / données de consommation foncière 2009-2023</t>
  </si>
  <si>
    <t xml:space="preserve">https://www.cerema.fr/fr/actualites/artificialisation-sols-quelle-dynamique</t>
  </si>
  <si>
    <t xml:space="preserve">Seconde vérification (01/10/2026) : non retrouvé sur la page du Cerema citée.</t>
  </si>
  <si>
    <t xml:space="preserve">Part de l'activité économique dans l'artificialisation</t>
  </si>
  <si>
    <t xml:space="preserve">2009-2018</t>
  </si>
  <si>
    <t xml:space="preserve">Activité économique (industrie, commerce, etc.) ; habitat 68 %.</t>
  </si>
  <si>
    <t xml:space="preserve">Pas de décomposition propre au commerce.</t>
  </si>
  <si>
    <t xml:space="preserve">Sites commerciaux EmpCom comportant au moins une friche</t>
  </si>
  <si>
    <t xml:space="preserve">sites</t>
  </si>
  <si>
    <t xml:space="preserve">Soit 7 % des sites à vocation commerciale ; environ 10 % de leur surface en friche (409 ha).</t>
  </si>
  <si>
    <t xml:space="preserve">S04</t>
  </si>
  <si>
    <t xml:space="preserve">Cerema, Déterminer le potentiel de réindustrialisation des friches dans les zones commerciales</t>
  </si>
  <si>
    <t xml:space="preserve">28/11/2024</t>
  </si>
  <si>
    <t xml:space="preserve">https://www.cerema.fr/fr/actualites/potentiel-reindustrialisation-friches</t>
  </si>
  <si>
    <t xml:space="preserve">9. Périphérie : vacance et transformation</t>
  </si>
  <si>
    <t xml:space="preserve">Taux de vacance dans les zones commerciales</t>
  </si>
  <si>
    <t xml:space="preserve">% (moins de)</t>
  </si>
  <si>
    <t xml:space="preserve">2007</t>
  </si>
  <si>
    <t xml:space="preserve">Zones commerciales de périphérie.</t>
  </si>
  <si>
    <t xml:space="preserve">« Aurait doublé » : plus de 8 % en 2020. Source d'origine non précisée par le Cerema.</t>
  </si>
  <si>
    <t xml:space="preserve">Comparé à 11 % en centre-ville.</t>
  </si>
  <si>
    <t xml:space="preserve">Taux de vacance dans les zones commerciales (Codata)</t>
  </si>
  <si>
    <t xml:space="preserve">Codata ; 6,79 % en 2023.</t>
  </si>
  <si>
    <t xml:space="preserve">Taux de vacance dans les 60 plus grandes zones commerciales</t>
  </si>
  <si>
    <t xml:space="preserve">« Vacance quasi absente ».</t>
  </si>
  <si>
    <t xml:space="preserve">Taux de vacance dans les centres commerciaux (Codata)</t>
  </si>
  <si>
    <t xml:space="preserve">14,95 % en 2023.</t>
  </si>
  <si>
    <t xml:space="preserve">L'Échommerces (S15) donne 16,04 % pour 2024.</t>
  </si>
  <si>
    <t xml:space="preserve">6,9 % en 2022 ; centres commerciaux 16,8 % en 2025.</t>
  </si>
  <si>
    <t xml:space="preserve">Taux de vacance des zones commerciales (FACT)</t>
  </si>
  <si>
    <t xml:space="preserve">Série FACT reproduite dans le baromètre.</t>
  </si>
  <si>
    <t xml:space="preserve">Graphique p. 61 du baromètre (série 2021-2025, source du graphique non détaillée) ; la valeur 2026 est attribuée à la FACT (note 3).</t>
  </si>
  <si>
    <t xml:space="preserve">Idem ; « se creuse depuis 2022 ».</t>
  </si>
  <si>
    <t xml:space="preserve">Projets de transformation d'entrées de ville recensés</t>
  </si>
  <si>
    <t xml:space="preserve">projets</t>
  </si>
  <si>
    <t xml:space="preserve">Recensement Icade × SCET (non exhaustif) ; 8 606 ha au total.</t>
  </si>
  <si>
    <t xml:space="preserve">Part des projets au stade de l'intention</t>
  </si>
  <si>
    <t xml:space="preserve">34 % à l'étude, 5 % en recyclage foncier, 3 % en travaux, 1 % achevés.</t>
  </si>
  <si>
    <t xml:space="preserve">Part des projets initiés par des acteurs privés (propriétaires et opérateurs)</t>
  </si>
  <si>
    <t xml:space="preserve">Acteurs « à l'origine » des projets ; 35 % sont initiés par des collectivités ou opérateurs publics.</t>
  </si>
  <si>
    <t xml:space="preserve">Le baromètre donne 65 % dans la synthèse et l'éditorial, 66 % dans le détail. 53 % des sites font moins de 3 ha.</t>
  </si>
  <si>
    <t xml:space="preserve">Part des élus jugeant les entrées de ville stratégiques</t>
  </si>
  <si>
    <t xml:space="preserve">juin-juillet 2026</t>
  </si>
  <si>
    <t xml:space="preserve">Communes de plus de 10 000 habitants</t>
  </si>
  <si>
    <t xml:space="preserve">Sondage Quorum auprès de 1 000 élus locaux.</t>
  </si>
  <si>
    <t xml:space="preserve">53 % citent le frein financier, 43 % le frein réglementaire.</t>
  </si>
  <si>
    <t xml:space="preserve">Sites d'entrée de ville identifiés (1re édition du baromètre)</t>
  </si>
  <si>
    <t xml:space="preserve">80 000 ha ; potentiel annoncé de 1,6 million de logements.</t>
  </si>
  <si>
    <t xml:space="preserve">Rappel de la 1re édition dans la 2e.</t>
  </si>
  <si>
    <t xml:space="preserve">10. Politiques publiques : moyens et résultats</t>
  </si>
  <si>
    <t xml:space="preserve">Villes ou binômes retenus dans Action Cœur de Ville</t>
  </si>
  <si>
    <t xml:space="preserve">villes ou binômes</t>
  </si>
  <si>
    <t xml:space="preserve">26/03/2018</t>
  </si>
  <si>
    <t xml:space="preserve">Lancement du programme.</t>
  </si>
  <si>
    <t xml:space="preserve">S35</t>
  </si>
  <si>
    <t xml:space="preserve">ANCT, Action Cœur de Ville (pages programme et atlas)</t>
  </si>
  <si>
    <t xml:space="preserve">https://anct.gouv.fr/programmes-dispositifs/action-coeur-de-ville</t>
  </si>
  <si>
    <t xml:space="preserve">La Cour des comptes parle de 234 villes moyennes dans 222 territoires.</t>
  </si>
  <si>
    <t xml:space="preserve">Communes lauréates d'Action Cœur de Ville</t>
  </si>
  <si>
    <t xml:space="preserve">communes</t>
  </si>
  <si>
    <t xml:space="preserve">France (dont une dizaine en outre-mer)</t>
  </si>
  <si>
    <t xml:space="preserve">Montants mobilisés par Action Cœur de Ville, phase 1</t>
  </si>
  <si>
    <t xml:space="preserve">milliards d'euros</t>
  </si>
  <si>
    <t xml:space="preserve">2018-2022</t>
  </si>
  <si>
    <t xml:space="preserve">Crédits de l'État, de l'ANAH, d'Action Logement et de la Banque des Territoires, en plus des sommes des collectivités.</t>
  </si>
  <si>
    <t xml:space="preserve">S36</t>
  </si>
  <si>
    <t xml:space="preserve">Banque des Territoires, Programme Action Cœur de Ville 2023-2026</t>
  </si>
  <si>
    <t xml:space="preserve">https://www.banquedesterritoires.fr/programme-action-coeur-de-ville-2026</t>
  </si>
  <si>
    <t xml:space="preserve">Seconde vérification (01/10/2026) : valeur corrigée (5 Md€ de crédits) ; le chiffre de « plus de 6 Md€ » n'a pas été retrouvé.</t>
  </si>
  <si>
    <t xml:space="preserve">Enveloppe Action Cœur de Ville, phase 2</t>
  </si>
  <si>
    <t xml:space="preserve">2023-2026</t>
  </si>
  <si>
    <t xml:space="preserve">« 5 milliards d'euros seront de nouveau alloués » pour 234 villes moyennes, avec un accent sur les entrées de ville et les quartiers de gare.</t>
  </si>
  <si>
    <t xml:space="preserve">Commerces et locaux d'activité restructurés (ACV)</t>
  </si>
  <si>
    <t xml:space="preserve">locaux (près de)</t>
  </si>
  <si>
    <t xml:space="preserve">2018-2025</t>
  </si>
  <si>
    <t xml:space="preserve">Résultat cumulé annoncé par l'ANCT.</t>
  </si>
  <si>
    <t xml:space="preserve">Évolution de la fréquentation des villes ACV</t>
  </si>
  <si>
    <t xml:space="preserve">+2 % dans les centres-villes hors ACV.</t>
  </si>
  <si>
    <t xml:space="preserve">S26</t>
  </si>
  <si>
    <t xml:space="preserve">Cour des comptes (via AEF info, Journal des Arts, Courrier des maires), Action Cœur de Ville : rapport sur la première phase du programme</t>
  </si>
  <si>
    <t xml:space="preserve">09/2022</t>
  </si>
  <si>
    <t xml:space="preserve">https://www.aefinfo.fr/depeche/679781-action-coeur-de-ville-un-programme-ambitieux-mais-difficile-a-evaluer-selon-la-cour-des-comptes</t>
  </si>
  <si>
    <t xml:space="preserve">Seconde vérification (01/10/2026) : article AEF non lisible (accès abonné) ; à vérifier dans le rapport de la Cour des comptes de 2022.</t>
  </si>
  <si>
    <t xml:space="preserve">Évolution des transactions immobilières dans les villes ACV</t>
  </si>
  <si>
    <t xml:space="preserve">2018-2021</t>
  </si>
  <si>
    <t xml:space="preserve">Par rapport à 2018.</t>
  </si>
  <si>
    <t xml:space="preserve">Emplois soutenus par les investissements ACV</t>
  </si>
  <si>
    <t xml:space="preserve">emplois</t>
  </si>
  <si>
    <t xml:space="preserve">2018-2020</t>
  </si>
  <si>
    <t xml:space="preserve">857 M€ d'investissement générés par 335,8 M€ de financements ACV.</t>
  </si>
  <si>
    <t xml:space="preserve">Communes bénéficiant de Petites villes de demain</t>
  </si>
  <si>
    <t xml:space="preserve">31/12/2024</t>
  </si>
  <si>
    <t xml:space="preserve">Communes de moins de 20 000 habitants</t>
  </si>
  <si>
    <t xml:space="preserve">Plus de 7 millions de personnes concernées.</t>
  </si>
  <si>
    <t xml:space="preserve">S37</t>
  </si>
  <si>
    <t xml:space="preserve">ANCT, Petites villes de demain : 3 ans d'engagement et 1,1 milliard d'euros investis</t>
  </si>
  <si>
    <t xml:space="preserve">07/06/2023</t>
  </si>
  <si>
    <t xml:space="preserve">https://anct.gouv.fr/actualites/petites-villes-de-demain-3-ans-d-engagement-et-11-milliard-d-euros-investis</t>
  </si>
  <si>
    <t xml:space="preserve">Seconde vérification (01/10/2026) : absent de la page citée (07/06/2023) ; à rechercher dans le bilan ANCT au 31/12/2024.</t>
  </si>
  <si>
    <t xml:space="preserve">Financements engagés dans Petites villes de demain</t>
  </si>
  <si>
    <t xml:space="preserve">au 31/12/2024</t>
  </si>
  <si>
    <t xml:space="preserve">Communes PVD</t>
  </si>
  <si>
    <t xml:space="preserve">3 milliards prévus ; effet de levier de l'État estimé entre 4 et 5.</t>
  </si>
  <si>
    <t xml:space="preserve">Montants investis dans Petites villes de demain en trois ans</t>
  </si>
  <si>
    <t xml:space="preserve">milliard d'euros</t>
  </si>
  <si>
    <t xml:space="preserve">2020-2023</t>
  </si>
  <si>
    <t xml:space="preserve">Bilan présenté pour les trois ans du programme.</t>
  </si>
  <si>
    <t xml:space="preserve">Seconde vérification (01/10/2026) : relu sur la page.</t>
  </si>
  <si>
    <t xml:space="preserve">Plan commerce de la Banque des Territoires</t>
  </si>
  <si>
    <t xml:space="preserve">Dont 800 M€ pour les foncières de redynamisation (300 M€ en fonds propres, 500 M€ en prêts).</t>
  </si>
  <si>
    <t xml:space="preserve">S38</t>
  </si>
  <si>
    <t xml:space="preserve">Banque des Territoires, La Banque des Territoires déploie un milliard d'euros pour soutenir le commerce</t>
  </si>
  <si>
    <t xml:space="preserve">06/10/2020</t>
  </si>
  <si>
    <t xml:space="preserve">https://www.banquedesterritoires.fr/la-banque-des-territoires-deploie-un-milliard-deuros-pour-soutenir-le-commerce</t>
  </si>
  <si>
    <t xml:space="preserve">Objectif de commerces remis sur le marché par les foncières</t>
  </si>
  <si>
    <t xml:space="preserve">commerces</t>
  </si>
  <si>
    <t xml:space="preserve">Objectif d'une centaine de foncières.</t>
  </si>
  <si>
    <t xml:space="preserve">Projets soutenus par le plan de transformation des zones commerciales</t>
  </si>
  <si>
    <t xml:space="preserve">74 lauréats en mars 2024 (26 M€, dont 20,3 M€ de travaux) et 16 en mai 2024 (5,4 M€) ; 31,4 M€ au total.</t>
  </si>
  <si>
    <t xml:space="preserve">S39</t>
  </si>
  <si>
    <t xml:space="preserve">Ministère de l'Économie / DGE, Plan de transformation des zones commerciales : annonce des lauréats</t>
  </si>
  <si>
    <t xml:space="preserve">29/03/2024 et 24/05/2024</t>
  </si>
  <si>
    <t xml:space="preserve">https://www.entreprises.gouv.fr/la-direction-generale-des-entreprises/actualites/annonce-74-laureats-plan-transformation-zones-commerciales</t>
  </si>
  <si>
    <t xml:space="preserve">Potentiel annoncé : 25 000 logements pour les 74 premiers projets.</t>
  </si>
  <si>
    <t xml:space="preserve">Lauréats du plan de transformation des zones commerciales (première vague)</t>
  </si>
  <si>
    <t xml:space="preserve">lauréats</t>
  </si>
  <si>
    <t xml:space="preserve">29/03/2024</t>
  </si>
  <si>
    <t xml:space="preserve">Soutien technique et financier de 26 M€ ; second appel à candidatures annoncé avec 8 M€ supplémentaires.</t>
  </si>
  <si>
    <t xml:space="preserve">Seconde vérification (01/10/2026) : relu dans le communiqué de la DGE.</t>
  </si>
  <si>
    <t xml:space="preserve">Ressources publiques consacrées au commerce de proximité, tous financements</t>
  </si>
  <si>
    <t xml:space="preserve">millions d'euros (environ)</t>
  </si>
  <si>
    <t xml:space="preserve">Environ 300 M€ de dépenses de l'État, des opérateurs et des collectivités (60 M€ par an), 30 M€ de prêts de la CDC et environ 180 M€ de participations dans les foncières de redynamisation.</t>
  </si>
  <si>
    <t xml:space="preserve">Relu dans le rapport (p. 12 et 86). Hors financements des collectivités en 2022.</t>
  </si>
  <si>
    <t xml:space="preserve">Crédits du FISAC</t>
  </si>
  <si>
    <t xml:space="preserve">millions d'euros</t>
  </si>
  <si>
    <t xml:space="preserve">80 M€ en 2007 ; fonds supprimé par la loi de finances pour 2019.</t>
  </si>
  <si>
    <t xml:space="preserve">Relu dans le rapport (p. 26).</t>
  </si>
  <si>
    <t xml:space="preserve">Commerces de proximité aidés directement par les collectivités locales</t>
  </si>
  <si>
    <t xml:space="preserve">Collectivités de plus de 3 500 habitants</t>
  </si>
  <si>
    <t xml:space="preserve">Aides directes, hors aménagement urbain ; 79,5 M€ au total (19,9 M€ par an en moyenne) ; près de 80 % des montants versés par les régions.</t>
  </si>
  <si>
    <t xml:space="preserve">Relu dans le rapport (p. 84).</t>
  </si>
  <si>
    <t xml:space="preserve">« Chèques numériques » distribués</t>
  </si>
  <si>
    <t xml:space="preserve">chèques</t>
  </si>
  <si>
    <t xml:space="preserve">mars 2021 - mars 2022</t>
  </si>
  <si>
    <t xml:space="preserve">Tous secteurs, 56,5 M€ ; dont 37 705 chèques pour les commerces de proximité (18,5 M€).</t>
  </si>
  <si>
    <t xml:space="preserve">Relu dans le rapport (p. 58).</t>
  </si>
  <si>
    <t xml:space="preserve">Foncières de redynamisation en activité</t>
  </si>
  <si>
    <t xml:space="preserve">foncières</t>
  </si>
  <si>
    <t xml:space="preserve">31/12/2022</t>
  </si>
  <si>
    <t xml:space="preserve">Objectif : 100 foncières et 6 000 locaux rénovés en 2024. Dont 32 ACV/PVD, 18 métropoles, 2 rurales et 6 QPV. 118 créations nettes de commerces fin 2022 ; 2 232 actifs dans les plans d'affaires.</t>
  </si>
  <si>
    <t xml:space="preserve">Relu dans le rapport (p. 33).</t>
  </si>
  <si>
    <t xml:space="preserve">Engagements de la Banque des Territoires dans les foncières de redynamisation</t>
  </si>
  <si>
    <t xml:space="preserve">fin 2022</t>
  </si>
  <si>
    <t xml:space="preserve">Fonds propres et quasi-fonds propres, soit 60 % de l'objectif 2020-2024 (enveloppe de 300 M€).</t>
  </si>
  <si>
    <t xml:space="preserve">Plafond de subvention du fonds de restructuration des locaux d'activité (FRLA) en QPV</t>
  </si>
  <si>
    <t xml:space="preserve">€ par m²</t>
  </si>
  <si>
    <t xml:space="preserve">670 €/m² en centre-ville ; l'opérateur finance au moins 40 % du coût. FRLA doté de 60 M€ à sa création (2021), réabondé de 25 M€ en 2023.</t>
  </si>
  <si>
    <t xml:space="preserve">Relu dans le rapport (p. 40).</t>
  </si>
  <si>
    <t xml:space="preserve">Fonds pour la restructuration des zones commerciales en périphérie</t>
  </si>
  <si>
    <t xml:space="preserve">Annoncé par le ministère chargé de l'économie ; la Cour relève des risques de recoupement avec ACV 2.</t>
  </si>
  <si>
    <t xml:space="preserve">Relu dans le rapport (p. 78).</t>
  </si>
  <si>
    <t xml:space="preserve">Recommandations de la Cour des comptes (rapport sur le commerce de proximité)</t>
  </si>
  <si>
    <t xml:space="preserve">recommandations</t>
  </si>
  <si>
    <t xml:space="preserve">Dont : évaluer en 2025 le FRLA, sécuriser les foncières, définir une stratégie coordonnée, améliorer le suivi des financements ACV et PVD, construire en 2024 un dispositif de suivi du commerce de proximité.</t>
  </si>
  <si>
    <t xml:space="preserve">Relu dans le rapport (p. 15-16).</t>
  </si>
  <si>
    <t xml:space="preserve">Recommandations de la mission sur l'avenir du commerce de proximité</t>
  </si>
  <si>
    <t xml:space="preserve">Centres-villes et QPV</t>
  </si>
  <si>
    <t xml:space="preserve">Cinq axes ; neuf mesures retenues par le Gouvernement.</t>
  </si>
  <si>
    <t xml:space="preserve">Seconde vérification (01/10/2026) : relu dans le rapport de la mission (partie 2, « Les 30 recommandations »).</t>
  </si>
  <si>
    <t xml:space="preserve">Mesures proposées par le Sénat (rapport n° 910)</t>
  </si>
  <si>
    <t xml:space="preserve">mesures</t>
  </si>
  <si>
    <t xml:space="preserve">Cinq priorités, dont un objectif de « zéro artificialisation commerciale nette » en périphérie.</t>
  </si>
  <si>
    <t xml:space="preserve">Seconde vérification (01/10/2026) : non présent dans le chapitre consulté ; repris de la synthèse du rapport (via Maire-Info).</t>
  </si>
  <si>
    <t xml:space="preserve">11. Littérature économique : effets mesurés</t>
  </si>
  <si>
    <t xml:space="preserve">Petits commerces alimentaires de centre-ville disparus dans les 4 ans suivant l'entrée d'une grande surface</t>
  </si>
  <si>
    <t xml:space="preserve">20 à 30</t>
  </si>
  <si>
    <t xml:space="preserve">étude citée par le CAE</t>
  </si>
  <si>
    <t xml:space="preserve">Espagne</t>
  </si>
  <si>
    <t xml:space="preserve">75 % des emplacements libérés sont repris par d'autres petits commerces, non alimentaires.</t>
  </si>
  <si>
    <t xml:space="preserve">Étude espagnole citée par la note du CAE ; référence d'origine non relue.</t>
  </si>
  <si>
    <t xml:space="preserve">Emplois créés dans le commerce de détail l'année suivant l'ouverture d'un Walmart</t>
  </si>
  <si>
    <t xml:space="preserve">études citées par le CAE</t>
  </si>
  <si>
    <t xml:space="preserve">États-Unis (comté)</t>
  </si>
  <si>
    <t xml:space="preserve">La moitié a disparu au bout de cinq ans ; sortie nette de 4 établissements en cinq ans ; pas d'effet mesurable dans les comtés voisins.</t>
  </si>
  <si>
    <t xml:space="preserve">Littérature américaine citée par le CAE.</t>
  </si>
  <si>
    <t xml:space="preserve">Sources</t>
  </si>
  <si>
    <t xml:space="preserve">Le nombre de chiffres est calculé à partir de l'onglet « Chiffres » (0 = source utilisée seulement pour l'analyse qualitative).</t>
  </si>
  <si>
    <t xml:space="preserve">Réf.</t>
  </si>
  <si>
    <t xml:space="preserve">Auteur / organisme</t>
  </si>
  <si>
    <t xml:space="preserve">Titre</t>
  </si>
  <si>
    <t xml:space="preserve">Nb de chiffres dans l'onglet « Chiffres »</t>
  </si>
  <si>
    <t xml:space="preserve">Cerema</t>
  </si>
  <si>
    <t xml:space="preserve">Accompagner la mutation des zones commerciales de périphérie</t>
  </si>
  <si>
    <t xml:space="preserve">Les données de géolocalisation des 1500 zones commerciales de périphérie sont en open data (base EmpCom)</t>
  </si>
  <si>
    <t xml:space="preserve">Zones commerciales et centres-villes : trouver le bon équilibre</t>
  </si>
  <si>
    <t xml:space="preserve">Déterminer le potentiel de réindustrialisation des friches dans les zones commerciales</t>
  </si>
  <si>
    <t xml:space="preserve">Bédué M. et Cohen C. (Insee)</t>
  </si>
  <si>
    <t xml:space="preserve">Le commerce de proximité : des pôles plus florissants en périphérie qu'en centre-ville, Insee Première n° 1858</t>
  </si>
  <si>
    <t xml:space="preserve">Cazaubiel A. et Guymarc G. (Insee)</t>
  </si>
  <si>
    <t xml:space="preserve">Commerce de proximité dans les villes de taille intermédiaire, Insee Première n° 1782</t>
  </si>
  <si>
    <t xml:space="preserve">Bloch K. et Pichavant A.-S. (Insee)</t>
  </si>
  <si>
    <t xml:space="preserve">Entre 2016 et 2022, l'emploi salarié des points de vente progresse davantage en dehors des centres-villes, Insee Première n° 2091</t>
  </si>
  <si>
    <t xml:space="preserve">Gouvernement (ministères Économie, Transition écologique, Cohésion des territoires)</t>
  </si>
  <si>
    <t xml:space="preserve">Un nouvel horizon pour les zones commerciales, dossier de presse</t>
  </si>
  <si>
    <t xml:space="preserve">Procos</t>
  </si>
  <si>
    <t xml:space="preserve">Dossier de presse, conférence annuelle</t>
  </si>
  <si>
    <t xml:space="preserve">CNAC / Direction générale des Entreprises</t>
  </si>
  <si>
    <t xml:space="preserve">Rapport d'activité 2024 de la Commission nationale d'aménagement commercial</t>
  </si>
  <si>
    <t xml:space="preserve">Icade et SCET</t>
  </si>
  <si>
    <t xml:space="preserve">Baromètre des entrées de ville, 2e édition : cap sur les projets</t>
  </si>
  <si>
    <t xml:space="preserve">Allain M.-L. et Epaulard A. (CAE)</t>
  </si>
  <si>
    <t xml:space="preserve">Petits commerces : déclin ou mutation ?, Les notes du CAE n° 77</t>
  </si>
  <si>
    <t xml:space="preserve">Rexecode</t>
  </si>
  <si>
    <t xml:space="preserve">Répartition des ventes du commerce de détail par lieu de vente, d'après Insee, Procos et Fevad</t>
  </si>
  <si>
    <t xml:space="preserve">Codata</t>
  </si>
  <si>
    <t xml:space="preserve">Codata Digest 2026 (relayé par L'Échommerces)</t>
  </si>
  <si>
    <t xml:space="preserve">L'Échommerces, d'après Codata</t>
  </si>
  <si>
    <t xml:space="preserve">La vacance commerciale progresse de nouveau en France</t>
  </si>
  <si>
    <t xml:space="preserve">Quel bilan tirer du plan ACV sur la vacance commerciale des centres-villes de villes moyennes ? (étude Codata / FACT)</t>
  </si>
  <si>
    <t xml:space="preserve">Points de Vente, d'après le baromètre Codata / FACT</t>
  </si>
  <si>
    <t xml:space="preserve">La hausse de la vacance commerciale reprend dans les centres-villes</t>
  </si>
  <si>
    <t xml:space="preserve">Public Sénat, citant un rapport du CGEDD (2016)</t>
  </si>
  <si>
    <t xml:space="preserve">Revitalisation des centres-villes : un rapport du Sénat pointe un sous-financement</t>
  </si>
  <si>
    <t xml:space="preserve">CGEDD et IGF (cité par le Cerema)</t>
  </si>
  <si>
    <t xml:space="preserve">Rapport interministériel sur la revitalisation commerciale des centres-villes</t>
  </si>
  <si>
    <t xml:space="preserve">Banque des Territoires, d'après l'Institut pour la Ville et le Commerce</t>
  </si>
  <si>
    <t xml:space="preserve">Vacance commerciale : les remèdes de l'Institut pour la Ville et le Commerce</t>
  </si>
  <si>
    <t xml:space="preserve">Banque des Territoires (Localtis), d'après une étude de la FACT (01/12/2025)</t>
  </si>
  <si>
    <t xml:space="preserve">La progression de la vacance commerciale ralentit, surtout dans les villes moyennes</t>
  </si>
  <si>
    <t xml:space="preserve">Sénat, mission conjointe de contrôle</t>
  </si>
  <si>
    <t xml:space="preserve">Revitalisation des centres-villes et des centres-bourgs : entre enthousiasme et frustrations, rapport d'information n° 910 (2021-2022)</t>
  </si>
  <si>
    <t xml:space="preserve">Cour des comptes</t>
  </si>
  <si>
    <t xml:space="preserve">La politique de l'État en faveur du commerce de proximité, rapport public thématique (période 2017-2022)</t>
  </si>
  <si>
    <t xml:space="preserve">S24</t>
  </si>
  <si>
    <t xml:space="preserve">Rapport public annuel 2016, tome 2 : la politique de la ville</t>
  </si>
  <si>
    <t xml:space="preserve">https://www.ccomptes.fr/sites/default/files/EzPublish/07-politique-de-la-ville-RPA2016-Tome-2.pdf</t>
  </si>
  <si>
    <t xml:space="preserve">S25</t>
  </si>
  <si>
    <t xml:space="preserve">L'évaluation de l'attractivité des quartiers prioritaires (rapport public thématique)</t>
  </si>
  <si>
    <t xml:space="preserve">à préciser</t>
  </si>
  <si>
    <t xml:space="preserve">https://www.ccomptes.fr/fr/publications/levaluation-de-lattractivite-des-quartiers-prioritaires</t>
  </si>
  <si>
    <t xml:space="preserve">Cour des comptes (via AEF info, Journal des Arts, Courrier des maires)</t>
  </si>
  <si>
    <t xml:space="preserve">Action Cœur de Ville : rapport sur la première phase du programme</t>
  </si>
  <si>
    <t xml:space="preserve">Mission sur l'avenir du commerce de proximité (rapport remis au Gouvernement)</t>
  </si>
  <si>
    <t xml:space="preserve">Rapport sur l'avenir du commerce de proximité dans les centres-villes et les QPV</t>
  </si>
  <si>
    <t xml:space="preserve">Direction générale des Entreprises</t>
  </si>
  <si>
    <t xml:space="preserve">Mission sur l'avenir du commerce de proximité : neuf mesures retenues</t>
  </si>
  <si>
    <t xml:space="preserve">S29</t>
  </si>
  <si>
    <t xml:space="preserve">Sénat</t>
  </si>
  <si>
    <t xml:space="preserve">Un nouveau pacte de solidarité pour les quartiers, rapport n° 49 (2006-2007)</t>
  </si>
  <si>
    <t xml:space="preserve">2006</t>
  </si>
  <si>
    <t xml:space="preserve">https://www.senat.fr/rap/r06-049-1/r06-049-1_mono.html</t>
  </si>
  <si>
    <t xml:space="preserve">ONPV / ANCT</t>
  </si>
  <si>
    <t xml:space="preserve">Comprendre le tissu économique en QPV : une hausse du nombre d'entreprises</t>
  </si>
  <si>
    <t xml:space="preserve">Observatoire des inégalités, d'après l'ONPV</t>
  </si>
  <si>
    <t xml:space="preserve">Le chômage dans les quartiers prioritaires</t>
  </si>
  <si>
    <t xml:space="preserve">Observatoire des inégalités, d'après l'Insee</t>
  </si>
  <si>
    <t xml:space="preserve">Les revenus et la pauvreté dans les quartiers les plus en difficulté</t>
  </si>
  <si>
    <t xml:space="preserve">ANCT</t>
  </si>
  <si>
    <t xml:space="preserve">Quartiers prioritaires de la politique de la ville</t>
  </si>
  <si>
    <t xml:space="preserve">ANRU</t>
  </si>
  <si>
    <t xml:space="preserve">Le commerce dans les quartiers prioritaires en renouvellement urbain</t>
  </si>
  <si>
    <t xml:space="preserve">Action Cœur de Ville (pages programme et atlas)</t>
  </si>
  <si>
    <t xml:space="preserve">Banque des Territoires</t>
  </si>
  <si>
    <t xml:space="preserve">Programme Action Cœur de Ville 2023-2026</t>
  </si>
  <si>
    <t xml:space="preserve">Petites villes de demain : 3 ans d'engagement et 1,1 milliard d'euros investis</t>
  </si>
  <si>
    <t xml:space="preserve">La Banque des Territoires déploie un milliard d'euros pour soutenir le commerce</t>
  </si>
  <si>
    <t xml:space="preserve">Ministère de l'Économie / DGE</t>
  </si>
  <si>
    <t xml:space="preserve">Plan de transformation des zones commerciales : annonce des lauréats</t>
  </si>
  <si>
    <t xml:space="preserve">2023, année de transition de l'aménagement commercial ?</t>
  </si>
  <si>
    <t xml:space="preserve">CGDD / Cerema</t>
  </si>
  <si>
    <t xml:space="preserve">Portail de l'artificialisation : consommation d'espaces naturels, agricoles et forestiers 2011-2025</t>
  </si>
  <si>
    <t xml:space="preserve">Artificialisation des sols : quelle dynamique ? / données de consommation foncière 2009-2023</t>
  </si>
  <si>
    <t xml:space="preserve">S43</t>
  </si>
  <si>
    <t xml:space="preserve">Assemblée nationale, commission du développement durable</t>
  </si>
  <si>
    <t xml:space="preserve">Rapport d'information n° 4968 sur le rôle et l'avenir des commerces de proximité</t>
  </si>
  <si>
    <t xml:space="preserve">26/01/2022</t>
  </si>
  <si>
    <t xml:space="preserve">https://www.assemblee-nationale.fr/dyn/15/rapports/cion-dvp/l15b4968_rapport-information.pdf</t>
  </si>
  <si>
    <t xml:space="preserve">LSA Conso</t>
  </si>
  <si>
    <t xml:space="preserve">La périphérie urbaine aimante le commerce</t>
  </si>
  <si>
    <t xml:space="preserve">Légifrance</t>
  </si>
  <si>
    <t xml:space="preserve">Lois n° 73-1193 (Royer), 96-603 (Raffarin), 2008-776 (LME), 2018-1021 (ELAN), 2021-1104 (Climat et résilience) ; décret du 13/10/2022</t>
  </si>
  <si>
    <t xml:space="preserve">EPARECA / LSA Conso ; CGET</t>
  </si>
  <si>
    <t xml:space="preserve">L'Epareca aide les quartiers sensibles ; De nouvelles opérations pour le commerce et l'artisanat en QPV</t>
  </si>
  <si>
    <t xml:space="preserve">Dossier de presse, restructuration d'un centre commercial en QPV au Mans</t>
  </si>
  <si>
    <t xml:space="preserve">S48</t>
  </si>
  <si>
    <t xml:space="preserve">Le développement des activités commerciales en centre-ville, rapport au ministre chargé du commerce (RPA 2026)</t>
  </si>
  <si>
    <t xml:space="preserve">05/03/2026</t>
  </si>
  <si>
    <t xml:space="preserve">https://www.vie-publique.fr/rapport/24822-le-developpement-des-activites-commerciales-en-centre-ville-rapport-au</t>
  </si>
  <si>
    <t xml:space="preserve">S49</t>
  </si>
  <si>
    <t xml:space="preserve">IGF et IGEDD</t>
  </si>
  <si>
    <t xml:space="preserve">La revitalisation commerciale des centres-villes</t>
  </si>
  <si>
    <t xml:space="preserve">https://www.igf.finances.gouv.fr/igf/accueil/nos-activites/rapports-de-missions/liste-de-tous-les-rapports-de-mi/la-revitalisation-commerciale-de.html</t>
  </si>
  <si>
    <t xml:space="preserve">S50</t>
  </si>
  <si>
    <t xml:space="preserve">Bertrand M. et Kramarz F.</t>
  </si>
  <si>
    <t xml:space="preserve">Does Entry Regulation Hinder Job Creation? Evidence from the French Retail Industry, Quarterly Journal of Economics, 117(4)</t>
  </si>
  <si>
    <t xml:space="preserve">2002</t>
  </si>
  <si>
    <t xml:space="preserve">S51</t>
  </si>
  <si>
    <t xml:space="preserve">Sadun R.</t>
  </si>
  <si>
    <t xml:space="preserve">Does Planning Regulation Protect Independent Retailers?, Review of Economics and Statistics, 97(5)</t>
  </si>
  <si>
    <t xml:space="preserve">S52</t>
  </si>
  <si>
    <t xml:space="preserve">Quantin S. et Turner L. (Insee)</t>
  </si>
  <si>
    <t xml:space="preserve">Le développement des grandes surfaces et son impact sur la durée de vie du petit commerce alimentaire de proximité, Journées de méthodologie statistique</t>
  </si>
  <si>
    <t xml:space="preserve">Cour des comptes (RPA 2026, via synthèse)</t>
  </si>
  <si>
    <t xml:space="preserve">Rapport public annuel 2026 : cohésion territoriale et attractivité des territoires</t>
  </si>
  <si>
    <t xml:space="preserve">Données et sources manquantes pour une évaluation complète</t>
  </si>
  <si>
    <t xml:space="preserve">Ce qu'il faudrait pour mesurer l'influence propre des zones périphériques sur les centres-villes et les QPV, et non une simple corrélation.</t>
  </si>
  <si>
    <t xml:space="preserve">Catégorie</t>
  </si>
  <si>
    <t xml:space="preserve">Besoin d'évaluation</t>
  </si>
  <si>
    <t xml:space="preserve">Donnée ou document manquant</t>
  </si>
  <si>
    <t xml:space="preserve">Producteur / détenteur</t>
  </si>
  <si>
    <t xml:space="preserve">Ce que cela permettrait de mesurer</t>
  </si>
  <si>
    <t xml:space="preserve">Conditions d'accès</t>
  </si>
  <si>
    <t xml:space="preserve">Statut dans nos travaux</t>
  </si>
  <si>
    <t xml:space="preserve">Priorité</t>
  </si>
  <si>
    <t xml:space="preserve">Démarche suggérée</t>
  </si>
  <si>
    <t xml:space="preserve">Données statistiques</t>
  </si>
  <si>
    <t xml:space="preserve">Mesurer l'offre en surfaces, pas seulement en nombre d'établissements</t>
  </si>
  <si>
    <t xml:space="preserve">Surfaces de vente par établissement (fichier de la taxe sur les surfaces commerciales, TASCOM)</t>
  </si>
  <si>
    <t xml:space="preserve">DGFiP ; DGE</t>
  </si>
  <si>
    <t xml:space="preserve">Pondérer chaque commerce par sa surface ; suivre l'ouverture des grandes surfaces dans le temps</t>
  </si>
  <si>
    <t xml:space="preserve">Non ouvert : demande à la DGFiP ou à la DGE</t>
  </si>
  <si>
    <t xml:space="preserve">Manquant</t>
  </si>
  <si>
    <t xml:space="preserve">Haute</t>
  </si>
  <si>
    <t xml:space="preserve">Demander à la DGE (bureau du commerce) l'accès à une extraction anonymisée par commune</t>
  </si>
  <si>
    <t xml:space="preserve">Identifier les ouvertures de surfaces en périphérie projet par projet</t>
  </si>
  <si>
    <t xml:space="preserve">Base consolidée des décisions CDAC / CNAC (date, adresse, surface, enseigne, autorisation ou refus)</t>
  </si>
  <si>
    <t xml:space="preserve">DGE (secrétariat de la CNAC) ; préfectures</t>
  </si>
  <si>
    <t xml:space="preserve">Comparer les territoires où un projet a été autorisé et ceux où il a été refusé (approche quasi expérimentale)</t>
  </si>
  <si>
    <t xml:space="preserve">Décisions publiées une à une ; pas de base ouverte consolidée</t>
  </si>
  <si>
    <t xml:space="preserve">Demander la base nationale à la DGE ; à défaut, Kyris / Procos (payant)</t>
  </si>
  <si>
    <t xml:space="preserve">Mesurer la vacance commerciale au niveau local</t>
  </si>
  <si>
    <t xml:space="preserve">Locaux d'activité vacants (fichiers fonciers, base LOCOMVAC du Cerema) ; relevés de terrain Codata</t>
  </si>
  <si>
    <t xml:space="preserve">Cerema (fichiers fonciers) ; Codata (privé)</t>
  </si>
  <si>
    <t xml:space="preserve">Mesurer directement la vacance en centre-ville et en QPV, au lieu du nombre d'établissements</t>
  </si>
  <si>
    <t xml:space="preserve">Fichiers fonciers : convention réservée aux acteurs publics et chercheurs ; Codata : payant</t>
  </si>
  <si>
    <t xml:space="preserve">Demander l'accès aux fichiers fonciers via le Cerema (DataFoncier) ; outil de diagnostic de la vacance annoncé par la mission de 2025</t>
  </si>
  <si>
    <t xml:space="preserve">Mesurer l'activité réelle (chiffre d'affaires, dépenses)</t>
  </si>
  <si>
    <t xml:space="preserve">Dépenses par carte bancaire localisées (lieu d'achat et lieu de résidence)</t>
  </si>
  <si>
    <t xml:space="preserve">Groupements bancaires (CB, Crédit Mutuel Alliance Fédérale…) ; Insee en partenariat</t>
  </si>
  <si>
    <t xml:space="preserve">Savoir où consomment les habitants des centres et des QPV, et ce que la périphérie capte</t>
  </si>
  <si>
    <t xml:space="preserve">Accès par partenariat de recherche</t>
  </si>
  <si>
    <t xml:space="preserve">S'inspirer de l'Insee Première n° 2075 (achats frontaliers) qui utilise ces données</t>
  </si>
  <si>
    <t xml:space="preserve">Mesurer l'emploi salarié par établissement</t>
  </si>
  <si>
    <t xml:space="preserve">Base tous salariés / DSN ; FLORES</t>
  </si>
  <si>
    <t xml:space="preserve">Insee</t>
  </si>
  <si>
    <t xml:space="preserve">Remplacer le critère employeur oui/non par les effectifs ; reproduire les pôles de l'Insee</t>
  </si>
  <si>
    <t xml:space="preserve">Accès sécurisé (CASD) sur projet</t>
  </si>
  <si>
    <t xml:space="preserve">Partiel (Sirene donne seulement le caractère employeur)</t>
  </si>
  <si>
    <t xml:space="preserve">Moyenne</t>
  </si>
  <si>
    <t xml:space="preserve">Déposer une demande CASD, ou demander des tableaux à façon à l'Insee</t>
  </si>
  <si>
    <t xml:space="preserve">Disposer de la géographie des pôles commerciaux de l'Insee</t>
  </si>
  <si>
    <t xml:space="preserve">Pôles du commerce de proximité (Insee Première n° 1858 et 2091)</t>
  </si>
  <si>
    <t xml:space="preserve">Comparer directement nos zones (Cerema) avec les pôles de périphérie et de centre-ville de l'Insee</t>
  </si>
  <si>
    <t xml:space="preserve">Fichiers de données des publications partiellement en ligne ; contours non publiés</t>
  </si>
  <si>
    <t xml:space="preserve">Récupérer les fichiers xlsx des publications ; demander les contours à l'Insee</t>
  </si>
  <si>
    <t xml:space="preserve">Suivre la date de création des zones et leurs extensions</t>
  </si>
  <si>
    <t xml:space="preserve">Historique des contours des zones commerciales ; dates de construction des locaux (fichiers fonciers)</t>
  </si>
  <si>
    <t xml:space="preserve">EmpCom est figée en 2021 : impossible de dater l'arrivée d'une zone près d'un centre</t>
  </si>
  <si>
    <t xml:space="preserve">Fichiers fonciers sous convention</t>
  </si>
  <si>
    <t xml:space="preserve">Reconstituer les dates via les fichiers fonciers ou Sitadel</t>
  </si>
  <si>
    <t xml:space="preserve">Mesurer les flux de clients</t>
  </si>
  <si>
    <t xml:space="preserve">Fréquentation piétonne et flux de mobilité (comptages, données de téléphonie)</t>
  </si>
  <si>
    <t xml:space="preserve">Procos / Stackr, MyTraffic, Orange Flux Vision (privés)</t>
  </si>
  <si>
    <t xml:space="preserve">Mesurer la fréquentation des centres et des QPV avant et après l'ouverture d'une zone</t>
  </si>
  <si>
    <t xml:space="preserve">Payant</t>
  </si>
  <si>
    <t xml:space="preserve">Partenariat ponctuel sur quelques villes tests</t>
  </si>
  <si>
    <t xml:space="preserve">Comprendre les déplacements d'achat des habitants des QPV</t>
  </si>
  <si>
    <t xml:space="preserve">Enquêtes mobilité (EMP 2019, enquêtes ménages-déplacements locales)</t>
  </si>
  <si>
    <t xml:space="preserve">SDES / Insee ; Cerema et autorités organisatrices</t>
  </si>
  <si>
    <t xml:space="preserve">Mesurer la part des achats des habitants de QPV réalisés en périphérie</t>
  </si>
  <si>
    <t xml:space="preserve">Fichiers détail via ADISP / CASD ; enquêtes locales sur demande</t>
  </si>
  <si>
    <t xml:space="preserve">Exploiter les enquêtes ménages-déplacements des grandes agglomérations</t>
  </si>
  <si>
    <t xml:space="preserve">Contrôler le pouvoir d'achat local</t>
  </si>
  <si>
    <t xml:space="preserve">Revenus carroyés (Filosofi), revenus par QPV</t>
  </si>
  <si>
    <t xml:space="preserve">Isoler l'effet du revenu, que la Cour des comptes cite comme première cause</t>
  </si>
  <si>
    <t xml:space="preserve">Ouvert</t>
  </si>
  <si>
    <t xml:space="preserve">Disponible, non intégré à notre analyse</t>
  </si>
  <si>
    <t xml:space="preserve">Ajouter Filosofi aux modèles</t>
  </si>
  <si>
    <t xml:space="preserve">Suivre les surfaces commerciales construites</t>
  </si>
  <si>
    <t xml:space="preserve">Sitadel (permis de construire, locaux commerciaux autorisés et commencés)</t>
  </si>
  <si>
    <t xml:space="preserve">SDES</t>
  </si>
  <si>
    <t xml:space="preserve">Mesurer la construction commerciale par commune et par année</t>
  </si>
  <si>
    <t xml:space="preserve">Disponible, non intégré</t>
  </si>
  <si>
    <t xml:space="preserve">Télécharger les séries communales de locaux d'activité</t>
  </si>
  <si>
    <t xml:space="preserve">Suivre les grands magasins et leurs dates d'ouverture</t>
  </si>
  <si>
    <t xml:space="preserve">Base permanente des équipements (hypermarchés, supermarchés, grandes surfaces spécialisées) ; bases de points de vente (LSA Expert, Nielsen)</t>
  </si>
  <si>
    <t xml:space="preserve">Insee (BPE, ouverte) ; LSA, Nielsen (payant)</t>
  </si>
  <si>
    <t xml:space="preserve">Repérer les ouvertures de grandes surfaces avec leur format</t>
  </si>
  <si>
    <t xml:space="preserve">BPE ouverte ; bases privées payantes</t>
  </si>
  <si>
    <t xml:space="preserve">Partiel</t>
  </si>
  <si>
    <t xml:space="preserve">Croiser la BPE annuelle avec Sirene</t>
  </si>
  <si>
    <t xml:space="preserve">Évaluer l'effet des politiques publiques</t>
  </si>
  <si>
    <t xml:space="preserve">Listes et dates des communes en ORT, ACV, PVD, lauréats du plan zones commerciales ; périmètres d'ORT</t>
  </si>
  <si>
    <t xml:space="preserve">ANCT ; DGE</t>
  </si>
  <si>
    <t xml:space="preserve">Distinguer l'effet de la périphérie de celui des programmes de revitalisation</t>
  </si>
  <si>
    <t xml:space="preserve">Listes ACV / PVD ouvertes ; périmètres ORT à vérifier</t>
  </si>
  <si>
    <t xml:space="preserve">Récupérer les listes sur data.gouv.fr et les dates de signature des conventions</t>
  </si>
  <si>
    <t xml:space="preserve">Mesurer les loyers et la valeur des locaux</t>
  </si>
  <si>
    <t xml:space="preserve">Loyers commerciaux, valeurs locatives des locaux professionnels, transactions (DVF)</t>
  </si>
  <si>
    <t xml:space="preserve">DGFiP (valeurs locatives, DVF) ; observatoires privés</t>
  </si>
  <si>
    <t xml:space="preserve">Voir si la périphérie fait baisser les loyers en centre</t>
  </si>
  <si>
    <t xml:space="preserve">DVF ouvert ; valeurs locatives par secteur publiées ; loyers privés payants</t>
  </si>
  <si>
    <t xml:space="preserve">Basse</t>
  </si>
  <si>
    <t xml:space="preserve">Commencer par DVF (ventes de locaux commerciaux)</t>
  </si>
  <si>
    <t xml:space="preserve">Mesurer la vacance spécifique aux QPV</t>
  </si>
  <si>
    <t xml:space="preserve">Indicateur consolidé de vacance commerciale en QPV</t>
  </si>
  <si>
    <t xml:space="preserve">ONPV / ANCT ; ANRU</t>
  </si>
  <si>
    <t xml:space="preserve">Aucun indicateur national n'existe aujourd'hui</t>
  </si>
  <si>
    <t xml:space="preserve">Inexistant</t>
  </si>
  <si>
    <t xml:space="preserve">Signaler le manque ; s'appuyer sur les diagnostics ANRU</t>
  </si>
  <si>
    <t xml:space="preserve">Disposer de données comparables en Europe</t>
  </si>
  <si>
    <t xml:space="preserve">Données harmonisées sur la localisation du commerce (centre / périphérie) dans les pays de l'UE</t>
  </si>
  <si>
    <t xml:space="preserve">Eurostat ; JRC ; offices statistiques nationaux</t>
  </si>
  <si>
    <t xml:space="preserve">Comparer la France aux autres pays européens</t>
  </si>
  <si>
    <t xml:space="preserve">Pas de base harmonisée identifiée</t>
  </si>
  <si>
    <t xml:space="preserve">Recenser les études nationales (Royaume-Uni, Allemagne, Pays-Bas)</t>
  </si>
  <si>
    <t xml:space="preserve">Documents non consultés en intégralité</t>
  </si>
  <si>
    <t xml:space="preserve">Disposer des derniers constats officiels</t>
  </si>
  <si>
    <t xml:space="preserve">Cour des comptes, « Le développement des activités commerciales en centre-ville » (mars 2026)</t>
  </si>
  <si>
    <t xml:space="preserve">Rapport le plus récent sur le sujet</t>
  </si>
  <si>
    <t xml:space="preserve">Ouvert (ccomptes.fr)</t>
  </si>
  <si>
    <t xml:space="preserve">Non consulté (erreur d'accès)</t>
  </si>
  <si>
    <t xml:space="preserve">Lire le rapport et ajouter ses chiffres</t>
  </si>
  <si>
    <t xml:space="preserve">Disposer des constats officiels sur les QPV</t>
  </si>
  <si>
    <t xml:space="preserve">Rapport de la mission sur l'avenir du commerce de proximité (nov. 2025), version intégrale</t>
  </si>
  <si>
    <t xml:space="preserve">Mission gouvernementale ; Banque des Territoires</t>
  </si>
  <si>
    <t xml:space="preserve">Diagnostic propre aux QPV</t>
  </si>
  <si>
    <t xml:space="preserve">Lu via des synthèses</t>
  </si>
  <si>
    <t xml:space="preserve">Lire le rapport intégral</t>
  </si>
  <si>
    <t xml:space="preserve">Disposer des données de l'ANRU</t>
  </si>
  <si>
    <t xml:space="preserve">ANRU, « Le commerce dans les quartiers prioritaires en renouvellement urbain » (2025)</t>
  </si>
  <si>
    <t xml:space="preserve">Diagnostic commercial des quartiers en renouvellement urbain</t>
  </si>
  <si>
    <t xml:space="preserve">Non consulté (erreurs serveur)</t>
  </si>
  <si>
    <t xml:space="preserve">Réessayer le téléchargement</t>
  </si>
  <si>
    <t xml:space="preserve">Disposer du rapport du Sénat</t>
  </si>
  <si>
    <t xml:space="preserve">Sénat, rapport n° 910 (2022), version intégrale</t>
  </si>
  <si>
    <t xml:space="preserve">Chiffres détaillés sur l'offre périphérique</t>
  </si>
  <si>
    <t xml:space="preserve">Lu via la page de synthèse</t>
  </si>
  <si>
    <t xml:space="preserve">Lire le chapitre sur les causes</t>
  </si>
  <si>
    <t xml:space="preserve">Disposer du rapport IGF / IGEDD</t>
  </si>
  <si>
    <t xml:space="preserve">IGF / IGEDD, « La revitalisation commerciale des centres-villes »</t>
  </si>
  <si>
    <t xml:space="preserve">IGF ; IGEDD</t>
  </si>
  <si>
    <t xml:space="preserve">Évaluation des dispositifs</t>
  </si>
  <si>
    <t xml:space="preserve">Non consulté</t>
  </si>
  <si>
    <t xml:space="preserve">Lire le rapport</t>
  </si>
  <si>
    <t xml:space="preserve">Disposer des travaux économétriques français</t>
  </si>
  <si>
    <t xml:space="preserve">Quantin et Turner (2015), grandes surfaces et durée de vie des petits commerces alimentaires</t>
  </si>
  <si>
    <t xml:space="preserve">Seule étude française identifiée sur l'effet d'une grande surface sur la survie des petits commerces</t>
  </si>
  <si>
    <t xml:space="preserve">Actes des Journées de méthodologie statistique</t>
  </si>
  <si>
    <t xml:space="preserve">Connu via la note du CAE</t>
  </si>
  <si>
    <t xml:space="preserve">Retrouver le texte et ses résultats chiffrés</t>
  </si>
  <si>
    <t xml:space="preserve">Vérifier les chiffres de vacance</t>
  </si>
  <si>
    <t xml:space="preserve">Baromètres Codata et FACT, versions d'origine</t>
  </si>
  <si>
    <t xml:space="preserve">Codata ; FACT</t>
  </si>
  <si>
    <t xml:space="preserve">Les chiffres circulent via la presse avec des valeurs différentes</t>
  </si>
  <si>
    <t xml:space="preserve">Partiellement payant</t>
  </si>
  <si>
    <t xml:space="preserve">Lu via des relais</t>
  </si>
  <si>
    <t xml:space="preserve">Demander les baromètres à Codata / FACT</t>
  </si>
  <si>
    <t xml:space="preserve">Vérifier les répartitions des ventes</t>
  </si>
  <si>
    <t xml:space="preserve">Rexecode (2024), répartition des ventes par lieu</t>
  </si>
  <si>
    <t xml:space="preserve">Source des 67 % (internet compris)</t>
  </si>
  <si>
    <t xml:space="preserve">À vérifier</t>
  </si>
  <si>
    <t xml:space="preserve">Repris de la présentation</t>
  </si>
  <si>
    <t xml:space="preserve">Retrouver la publication d'origine</t>
  </si>
  <si>
    <t xml:space="preserve">Disposer des études historiques sur les quartiers</t>
  </si>
  <si>
    <t xml:space="preserve">CREDOC, « Commerces et zones urbaines sensibles » et « Le commerce dans les cités »</t>
  </si>
  <si>
    <t xml:space="preserve">CREDOC</t>
  </si>
  <si>
    <t xml:space="preserve">Données anciennes sur le commerce en ZUS</t>
  </si>
  <si>
    <t xml:space="preserve">Ouvert (PDF anciens)</t>
  </si>
  <si>
    <t xml:space="preserve">Non exploités (PDF illisibles)</t>
  </si>
  <si>
    <t xml:space="preserve">Lire les PDF</t>
  </si>
  <si>
    <t xml:space="preserve">Calculs propres sur le répertoire Sirene (non publiés)</t>
  </si>
  <si>
    <t xml:space="preserve">Ne pas mélanger avec l'état de l'art. Méthode et limites : analyse_commerce_territoires/rapport.html (dépôt du projet).</t>
  </si>
  <si>
    <t xml:space="preserve">Année(s)</t>
  </si>
  <si>
    <t xml:space="preserve">Champ</t>
  </si>
  <si>
    <t xml:space="preserve">Source des données</t>
  </si>
  <si>
    <t xml:space="preserve">Commerces employeurs en zones périphériques (Cerema EmpCom)</t>
  </si>
  <si>
    <t xml:space="preserve">2012</t>
  </si>
  <si>
    <t xml:space="preserve">1 372 sites, tampon de 50 m ; NAF 47.1 à 47.7 ; employeurs</t>
  </si>
  <si>
    <t xml:space="preserve">Insee, Sirene (sept. 2026) ; Cerema, EmpCom ; ANCT, QPV 2024. Calculs propres.</t>
  </si>
  <si>
    <t xml:space="preserve">Commerces employeurs en zones périphériques</t>
  </si>
  <si>
    <t xml:space="preserve">Idem</t>
  </si>
  <si>
    <t xml:space="preserve">Évolution des commerces employeurs en zones périphériques</t>
  </si>
  <si>
    <t xml:space="preserve">2012-2025</t>
  </si>
  <si>
    <t xml:space="preserve">Commerces employeurs dans les centres-villes</t>
  </si>
  <si>
    <t xml:space="preserve">Cercle de 300 à 700 m autour de la mairie, 2 128 communes de 5 000 hab. et plus (hors Paris, Lyon, Marseille)</t>
  </si>
  <si>
    <t xml:space="preserve">Évolution des commerces employeurs dans les centres-villes</t>
  </si>
  <si>
    <t xml:space="preserve">Commerces employeurs dans les QPV</t>
  </si>
  <si>
    <t xml:space="preserve">1 362 QPV 2024 (code QPV de la géolocalisation Sirene)</t>
  </si>
  <si>
    <t xml:space="preserve">Évolution des commerces employeurs dans les QPV</t>
  </si>
  <si>
    <t xml:space="preserve">Évolution de tous les établissements (employeurs ou non) en zones périphériques</t>
  </si>
  <si>
    <t xml:space="preserve">Idem, tous établissements actifs</t>
  </si>
  <si>
    <t xml:space="preserve">Évolution de tous les établissements dans les centres-villes</t>
  </si>
  <si>
    <t xml:space="preserve">Évolution de tous les établissements dans les QPV</t>
  </si>
  <si>
    <t xml:space="preserve">Croissance annuelle des commerces employeurs en périphérie</t>
  </si>
  <si>
    <t xml:space="preserve">2012-2016</t>
  </si>
  <si>
    <t xml:space="preserve">2022-2025</t>
  </si>
  <si>
    <t xml:space="preserve">Croissance annuelle des commerces employeurs dans les centres-villes</t>
  </si>
  <si>
    <t xml:space="preserve">Écart d'évolution entre les QPV et le reste de leur commune</t>
  </si>
  <si>
    <t xml:space="preserve">points</t>
  </si>
  <si>
    <t xml:space="preserve">510 QPV comptant au moins 5 commerces employeurs en 2012 ; QPV −8,2 %, reste de la commune +8,3 %</t>
  </si>
  <si>
    <t xml:space="preserve">Habillement, commerces employeurs dans les centres-villes</t>
  </si>
  <si>
    <t xml:space="preserve">NAF 47.71</t>
  </si>
  <si>
    <t xml:space="preserve">Chaussures et maroquinerie, commerces employeurs dans les QPV</t>
  </si>
  <si>
    <t xml:space="preserve">NAF 47.72</t>
  </si>
  <si>
    <t xml:space="preserve">Habillement et chaussures, commerces employeurs en périphérie</t>
  </si>
  <si>
    <t xml:space="preserve">2019-2025</t>
  </si>
  <si>
    <t xml:space="preserve">NAF 47.71-47.72 ; pic en 2019</t>
  </si>
  <si>
    <t xml:space="preserve">Part des centres-villes à moins de 10 km d'une grande zone commerciale</t>
  </si>
  <si>
    <t xml:space="preserve">Distance au contour EmpCom le plus proche ; médiane 2,5 km</t>
  </si>
  <si>
    <t xml:space="preserve">Effet estimé de l'ouverture nette d'une grande surface à moins de 10 km sur les commerces du centre</t>
  </si>
  <si>
    <t xml:space="preserve">point par période</t>
  </si>
  <si>
    <t xml:space="preserve">Panel à effets fixes ; IC 95 % [−0,67 ; +1,20] : pas d'effet significatif</t>
  </si>
  <si>
    <t xml:space="preserve">Effet de la surface commerciale périphérique à moins de 10 km (modèle en coupe)</t>
  </si>
  <si>
    <t xml:space="preserve">point par log-hectare</t>
  </si>
  <si>
    <t xml:space="preserve">IC 95 % [−1,0 ; +0,9] : pas d'effet significatif</t>
  </si>
  <si>
    <t xml:space="preserve">Synthèse</t>
  </si>
  <si>
    <t xml:space="preserve">Nombre de chiffres par thème et par niveau de vérification (calculé à partir de l'onglet « Chiffres »).</t>
  </si>
  <si>
    <t xml:space="preserve">A - Relu</t>
  </si>
  <si>
    <t xml:space="preserve">B - Consulté</t>
  </si>
  <si>
    <t xml:space="preserve">C - Relais</t>
  </si>
  <si>
    <t xml:space="preserve">D - À vérifier</t>
  </si>
  <si>
    <t xml:space="preserve">E - Présentation</t>
  </si>
  <si>
    <t xml:space="preserve">Total</t>
  </si>
  <si>
    <t xml:space="preserve">Légende complète des niveaux : onglet « Lisez-moi ».</t>
  </si>
</sst>
</file>

<file path=xl/styles.xml><?xml version="1.0" encoding="utf-8"?>
<styleSheet xmlns="http://schemas.openxmlformats.org/spreadsheetml/2006/main">
  <numFmts count="6">
    <numFmt numFmtId="164" formatCode="General"/>
    <numFmt numFmtId="165" formatCode="#,##0"/>
    <numFmt numFmtId="166" formatCode="@"/>
    <numFmt numFmtId="167" formatCode="0.0##"/>
    <numFmt numFmtId="168" formatCode="General"/>
    <numFmt numFmtId="169" formatCode="0.0#"/>
  </numFmts>
  <fonts count="11">
    <font>
      <sz val="11"/>
      <color theme="1"/>
      <name val="Calibri"/>
      <family val="2"/>
      <charset val="1"/>
    </font>
    <font>
      <sz val="10"/>
      <name val="Arial"/>
      <family val="0"/>
    </font>
    <font>
      <sz val="10"/>
      <name val="Arial"/>
      <family val="0"/>
    </font>
    <font>
      <sz val="10"/>
      <name val="Arial"/>
      <family val="0"/>
    </font>
    <font>
      <b val="true"/>
      <sz val="14"/>
      <color rgb="FF003087"/>
      <name val="Arial"/>
      <family val="0"/>
      <charset val="1"/>
    </font>
    <font>
      <i val="true"/>
      <sz val="9"/>
      <color rgb="FF595959"/>
      <name val="Arial"/>
      <family val="0"/>
      <charset val="1"/>
    </font>
    <font>
      <sz val="10"/>
      <name val="Arial"/>
      <family val="0"/>
      <charset val="1"/>
    </font>
    <font>
      <b val="true"/>
      <sz val="10"/>
      <name val="Arial"/>
      <family val="0"/>
      <charset val="1"/>
    </font>
    <font>
      <b val="true"/>
      <sz val="11"/>
      <color rgb="FF003087"/>
      <name val="Arial"/>
      <family val="0"/>
      <charset val="1"/>
    </font>
    <font>
      <b val="true"/>
      <sz val="10"/>
      <color rgb="FFFFFFFF"/>
      <name val="Arial"/>
      <family val="0"/>
      <charset val="1"/>
    </font>
    <font>
      <u val="single"/>
      <sz val="10"/>
      <color rgb="FF0563C1"/>
      <name val="Arial"/>
      <family val="0"/>
      <charset val="1"/>
    </font>
  </fonts>
  <fills count="7">
    <fill>
      <patternFill patternType="none"/>
    </fill>
    <fill>
      <patternFill patternType="gray125"/>
    </fill>
    <fill>
      <patternFill patternType="solid">
        <fgColor rgb="FF003087"/>
        <bgColor rgb="FF333399"/>
      </patternFill>
    </fill>
    <fill>
      <patternFill patternType="solid">
        <fgColor rgb="FFFCE4D6"/>
        <bgColor rgb="FFFFF2CC"/>
      </patternFill>
    </fill>
    <fill>
      <patternFill patternType="solid">
        <fgColor rgb="FFFFF2CC"/>
        <bgColor rgb="FFFCE4D6"/>
      </patternFill>
    </fill>
    <fill>
      <patternFill patternType="solid">
        <fgColor rgb="FFF2F2F2"/>
        <bgColor rgb="FFEBF4FB"/>
      </patternFill>
    </fill>
    <fill>
      <patternFill patternType="solid">
        <fgColor rgb="FFEBF4FB"/>
        <bgColor rgb="FFF2F2F2"/>
      </patternFill>
    </fill>
  </fills>
  <borders count="2">
    <border diagonalUp="false" diagonalDown="false">
      <left/>
      <right/>
      <top/>
      <bottom/>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right" vertical="top" textRotation="0" wrapText="false" indent="0" shrinkToFit="false"/>
      <protection locked="true" hidden="false"/>
    </xf>
    <xf numFmtId="166" fontId="6"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right" vertical="top" textRotation="0" wrapText="false" indent="0" shrinkToFit="false"/>
      <protection locked="true" hidden="false"/>
    </xf>
    <xf numFmtId="167" fontId="6" fillId="0" borderId="1" xfId="0" applyFont="true" applyBorder="true" applyAlignment="true" applyProtection="false">
      <alignment horizontal="right" vertical="top" textRotation="0" wrapText="false" indent="0" shrinkToFit="false"/>
      <protection locked="true" hidden="false"/>
    </xf>
    <xf numFmtId="168" fontId="6" fillId="0" borderId="1" xfId="0" applyFont="true" applyBorder="true" applyAlignment="true" applyProtection="false">
      <alignment horizontal="center" vertical="top" textRotation="0" wrapText="true" indent="0" shrinkToFit="false"/>
      <protection locked="true" hidden="false"/>
    </xf>
    <xf numFmtId="164" fontId="6" fillId="3" borderId="1" xfId="0" applyFont="true" applyBorder="true" applyAlignment="true" applyProtection="false">
      <alignment horizontal="center" vertical="top" textRotation="0" wrapText="true" indent="0" shrinkToFit="false"/>
      <protection locked="true" hidden="false"/>
    </xf>
    <xf numFmtId="164" fontId="6" fillId="4" borderId="1" xfId="0" applyFont="true" applyBorder="true" applyAlignment="true" applyProtection="false">
      <alignment horizontal="center" vertical="top" textRotation="0" wrapText="true" indent="0" shrinkToFit="false"/>
      <protection locked="true" hidden="false"/>
    </xf>
    <xf numFmtId="164" fontId="6" fillId="5" borderId="1" xfId="0" applyFont="true" applyBorder="true" applyAlignment="true" applyProtection="false">
      <alignment horizontal="center" vertical="top" textRotation="0" wrapText="true" indent="0" shrinkToFit="false"/>
      <protection locked="true" hidden="false"/>
    </xf>
    <xf numFmtId="169" fontId="6" fillId="0" borderId="1" xfId="0" applyFont="true" applyBorder="true" applyAlignment="true" applyProtection="false">
      <alignment horizontal="right" vertical="top"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true" applyProtection="false">
      <alignment horizontal="center" vertical="top" textRotation="0" wrapText="true" indent="0" shrinkToFit="false"/>
      <protection locked="true" hidden="false"/>
    </xf>
    <xf numFmtId="168" fontId="7" fillId="0" borderId="0" xfId="0" applyFont="true" applyBorder="false" applyAlignment="true" applyProtection="false">
      <alignment horizontal="center" vertical="top" textRotation="0" wrapText="true" indent="0" shrinkToFit="false"/>
      <protection locked="true" hidden="false"/>
    </xf>
    <xf numFmtId="164" fontId="7" fillId="6" borderId="0" xfId="0" applyFont="true" applyBorder="false" applyAlignment="false" applyProtection="false">
      <alignment horizontal="general" vertical="bottom" textRotation="0" wrapText="false" indent="0" shrinkToFit="false"/>
      <protection locked="true" hidden="false"/>
    </xf>
    <xf numFmtId="168" fontId="7" fillId="6" borderId="0" xfId="0" applyFont="true" applyBorder="fals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003087"/>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
      <fill>
        <patternFill patternType="solid">
          <fgColor rgb="FFF2F2F2"/>
          <bgColor rgb="FF000000"/>
        </patternFill>
      </fill>
    </dxf>
    <dxf>
      <fill>
        <patternFill patternType="solid">
          <fgColor rgb="FFFCE4D6"/>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BF4FB"/>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CE4D6"/>
      <rgbColor rgb="FF3366FF"/>
      <rgbColor rgb="FF33CCCC"/>
      <rgbColor rgb="FF99CC00"/>
      <rgbColor rgb="FFFFCC00"/>
      <rgbColor rgb="FFFF9900"/>
      <rgbColor rgb="FFFF6600"/>
      <rgbColor rgb="FF595959"/>
      <rgbColor rgb="FF969696"/>
      <rgbColor rgb="FF003087"/>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www.cerema.fr/fr/actualites/accompagner-mutation-zones-commerciales-peripherie" TargetMode="External"/><Relationship Id="rId2" Type="http://schemas.openxmlformats.org/officeDocument/2006/relationships/hyperlink" Target="https://www.cerema.fr/fr/actualites/accompagner-mutation-zones-commerciales-peripherie" TargetMode="External"/><Relationship Id="rId3" Type="http://schemas.openxmlformats.org/officeDocument/2006/relationships/hyperlink" Target="https://www.cerema.fr/fr/actualites/donnees-geolocalisation-1500-zones-commerciales-peripherie" TargetMode="External"/><Relationship Id="rId4" Type="http://schemas.openxmlformats.org/officeDocument/2006/relationships/hyperlink" Target="https://www.cerema.fr/fr/actualites/accompagner-mutation-zones-commerciales-peripherie" TargetMode="External"/><Relationship Id="rId5" Type="http://schemas.openxmlformats.org/officeDocument/2006/relationships/hyperlink" Target="https://www.cerema.fr/fr/actualites/accompagner-mutation-zones-commerciales-peripherie" TargetMode="External"/><Relationship Id="rId6" Type="http://schemas.openxmlformats.org/officeDocument/2006/relationships/hyperlink" Target="https://www.insee.fr/fr/statistiques/5386414" TargetMode="External"/><Relationship Id="rId7" Type="http://schemas.openxmlformats.org/officeDocument/2006/relationships/hyperlink" Target="https://www.insee.fr/fr/statistiques/5386414" TargetMode="External"/><Relationship Id="rId8" Type="http://schemas.openxmlformats.org/officeDocument/2006/relationships/hyperlink" Target="https://www.insee.fr/fr/statistiques/5386414" TargetMode="External"/><Relationship Id="rId9" Type="http://schemas.openxmlformats.org/officeDocument/2006/relationships/hyperlink" Target="https://www.insee.fr/fr/statistiques/8730497" TargetMode="External"/><Relationship Id="rId10" Type="http://schemas.openxmlformats.org/officeDocument/2006/relationships/hyperlink" Target="https://www.insee.fr/fr/statistiques/8730497" TargetMode="External"/><Relationship Id="rId11" Type="http://schemas.openxmlformats.org/officeDocument/2006/relationships/hyperlink" Target="https://www.insee.fr/fr/statistiques/8730497" TargetMode="External"/><Relationship Id="rId12" Type="http://schemas.openxmlformats.org/officeDocument/2006/relationships/hyperlink" Target="https://www.info.gouv.fr/upload/media/content/0001/07/2dc90efc2c1a0e97572bf027240fac63e4dc9d75.pdf" TargetMode="External"/><Relationship Id="rId13" Type="http://schemas.openxmlformats.org/officeDocument/2006/relationships/hyperlink" Target="https://www.info.gouv.fr/upload/media/content/0001/07/2dc90efc2c1a0e97572bf027240fac63e4dc9d75.pdf" TargetMode="External"/><Relationship Id="rId14" Type="http://schemas.openxmlformats.org/officeDocument/2006/relationships/hyperlink" Target="https://www.procos.org/images/procos/presse/2025/Conf_0225/procos_dp_120225_site.pdf" TargetMode="External"/><Relationship Id="rId15" Type="http://schemas.openxmlformats.org/officeDocument/2006/relationships/hyperlink" Target="https://www.cerema.fr/fr/actualites/zones-commerciales-centres-villes-trouver-bon-equilibre" TargetMode="External"/><Relationship Id="rId16" Type="http://schemas.openxmlformats.org/officeDocument/2006/relationships/hyperlink" Target="https://www.senat.fr/rap/r21-910/r21-9109.html" TargetMode="External"/><Relationship Id="rId17" Type="http://schemas.openxmlformats.org/officeDocument/2006/relationships/hyperlink" Target="https://www.lsa-conso.fr/la-peripherie-urbaine-aimante-le-commerce,323561" TargetMode="External"/><Relationship Id="rId18" Type="http://schemas.openxmlformats.org/officeDocument/2006/relationships/hyperlink" Target="https://www.insee.fr/fr/statistiques/5386414" TargetMode="External"/><Relationship Id="rId19" Type="http://schemas.openxmlformats.org/officeDocument/2006/relationships/hyperlink" Target="https://www.insee.fr/fr/statistiques/5386414" TargetMode="External"/><Relationship Id="rId20" Type="http://schemas.openxmlformats.org/officeDocument/2006/relationships/hyperlink" Target="https://www.insee.fr/fr/statistiques/5386414" TargetMode="External"/><Relationship Id="rId21" Type="http://schemas.openxmlformats.org/officeDocument/2006/relationships/hyperlink" Target="https://www.insee.fr/fr/statistiques/5386414" TargetMode="External"/><Relationship Id="rId22" Type="http://schemas.openxmlformats.org/officeDocument/2006/relationships/hyperlink" Target="https://www.insee.fr/fr/statistiques/5386414" TargetMode="External"/><Relationship Id="rId23" Type="http://schemas.openxmlformats.org/officeDocument/2006/relationships/hyperlink" Target="https://www.insee.fr/fr/statistiques/5386414" TargetMode="External"/><Relationship Id="rId24" Type="http://schemas.openxmlformats.org/officeDocument/2006/relationships/hyperlink" Target="https://www.insee.fr/fr/statistiques/5386414" TargetMode="External"/><Relationship Id="rId25" Type="http://schemas.openxmlformats.org/officeDocument/2006/relationships/hyperlink" Target="https://www.insee.fr/fr/statistiques/4248184" TargetMode="External"/><Relationship Id="rId26" Type="http://schemas.openxmlformats.org/officeDocument/2006/relationships/hyperlink" Target="https://www.insee.fr/fr/statistiques/4248184" TargetMode="External"/><Relationship Id="rId27" Type="http://schemas.openxmlformats.org/officeDocument/2006/relationships/hyperlink" Target="https://www.insee.fr/fr/statistiques/4248184" TargetMode="External"/><Relationship Id="rId28" Type="http://schemas.openxmlformats.org/officeDocument/2006/relationships/hyperlink" Target="https://www.insee.fr/fr/statistiques/4248184" TargetMode="External"/><Relationship Id="rId29" Type="http://schemas.openxmlformats.org/officeDocument/2006/relationships/hyperlink" Target="https://www.insee.fr/fr/statistiques/8730497" TargetMode="External"/><Relationship Id="rId30" Type="http://schemas.openxmlformats.org/officeDocument/2006/relationships/hyperlink" Target="https://www.insee.fr/fr/statistiques/8730497" TargetMode="External"/><Relationship Id="rId31" Type="http://schemas.openxmlformats.org/officeDocument/2006/relationships/hyperlink" Target="https://www.insee.fr/fr/statistiques/8730497" TargetMode="External"/><Relationship Id="rId32" Type="http://schemas.openxmlformats.org/officeDocument/2006/relationships/hyperlink" Target="https://www.insee.fr/fr/statistiques/8730497" TargetMode="External"/><Relationship Id="rId33" Type="http://schemas.openxmlformats.org/officeDocument/2006/relationships/hyperlink" Target="https://www.insee.fr/fr/statistiques/8730497" TargetMode="External"/><Relationship Id="rId34" Type="http://schemas.openxmlformats.org/officeDocument/2006/relationships/hyperlink" Target="https://www.ccomptes.fr/sites/default/files/2023-10/20230929-politiques-publiques-commerce-proximite.pdf" TargetMode="External"/><Relationship Id="rId35" Type="http://schemas.openxmlformats.org/officeDocument/2006/relationships/hyperlink" Target="https://www.cae-eco.fr/" TargetMode="External"/><Relationship Id="rId36" Type="http://schemas.openxmlformats.org/officeDocument/2006/relationships/hyperlink" Target="https://www.publicsenat.fr/actualites/territoires/revitalisation-des-centres-villes-un-rapport-du-senat-pointe-un-sous" TargetMode="External"/><Relationship Id="rId37" Type="http://schemas.openxmlformats.org/officeDocument/2006/relationships/hyperlink" Target="https://www.publicsenat.fr/actualites/territoires/revitalisation-des-centres-villes-un-rapport-du-senat-pointe-un-sous" TargetMode="External"/><Relationship Id="rId38" Type="http://schemas.openxmlformats.org/officeDocument/2006/relationships/hyperlink" Target="https://www.cerema.fr/fr/actualites/zones-commerciales-centres-villes-trouver-bon-equilibre" TargetMode="External"/><Relationship Id="rId39" Type="http://schemas.openxmlformats.org/officeDocument/2006/relationships/hyperlink" Target="https://www.banquedesterritoires.fr/vacance-commerciale-les-remedes-de-linstitut-pour-la-ville-et-le-commerce" TargetMode="External"/><Relationship Id="rId40" Type="http://schemas.openxmlformats.org/officeDocument/2006/relationships/hyperlink" Target="https://www.banquedesterritoires.fr/la-progression-de-la-vacance-commerciale-ralentit-surtout-dans-les-villes-moyennes" TargetMode="External"/><Relationship Id="rId41" Type="http://schemas.openxmlformats.org/officeDocument/2006/relationships/hyperlink" Target="https://www.banquedesterritoires.fr/la-progression-de-la-vacance-commerciale-ralentit-surtout-dans-les-villes-moyennes" TargetMode="External"/><Relationship Id="rId42" Type="http://schemas.openxmlformats.org/officeDocument/2006/relationships/hyperlink" Target="https://www.banquedesterritoires.fr/la-progression-de-la-vacance-commerciale-ralentit-surtout-dans-les-villes-moyennes" TargetMode="External"/><Relationship Id="rId43" Type="http://schemas.openxmlformats.org/officeDocument/2006/relationships/hyperlink" Target="https://www.banquedesterritoires.fr/la-progression-de-la-vacance-commerciale-ralentit-surtout-dans-les-villes-moyennes" TargetMode="External"/><Relationship Id="rId44" Type="http://schemas.openxmlformats.org/officeDocument/2006/relationships/hyperlink" Target="https://www.senat.fr/rap/r21-910/r21-9109.html" TargetMode="External"/><Relationship Id="rId45" Type="http://schemas.openxmlformats.org/officeDocument/2006/relationships/hyperlink" Target="https://www.procos.org/images/procos/presse/2025/Conf_0225/procos_dp_120225_site.pdf" TargetMode="External"/><Relationship Id="rId46" Type="http://schemas.openxmlformats.org/officeDocument/2006/relationships/hyperlink" Target="https://www.procos.org/images/procos/presse/2025/Conf_0225/procos_dp_120225_site.pdf" TargetMode="External"/><Relationship Id="rId47" Type="http://schemas.openxmlformats.org/officeDocument/2006/relationships/hyperlink" Target="https://www.info.gouv.fr/upload/media/content/0001/07/2dc90efc2c1a0e97572bf027240fac63e4dc9d75.pdf" TargetMode="External"/><Relationship Id="rId48" Type="http://schemas.openxmlformats.org/officeDocument/2006/relationships/hyperlink" Target="https://www.entreprises.gouv.fr/la-dge/actualites/mission-sur-lavenir-du-commerce-de-proximite-neuf-mesures-retenues-pour" TargetMode="External"/><Relationship Id="rId49" Type="http://schemas.openxmlformats.org/officeDocument/2006/relationships/hyperlink" Target="https://www.banquedesterritoires.fr/sites/default/files/2025-11/Rapport-mission-commerce-de-proximite-centres-villes-QPVf.pdf" TargetMode="External"/><Relationship Id="rId50" Type="http://schemas.openxmlformats.org/officeDocument/2006/relationships/hyperlink" Target="https://www.entreprises.gouv.fr/la-dge/actualites/mission-sur-lavenir-du-commerce-de-proximite-neuf-mesures-retenues-pour" TargetMode="External"/><Relationship Id="rId51" Type="http://schemas.openxmlformats.org/officeDocument/2006/relationships/hyperlink" Target="https://pointsdevente.fr/fil-info/2024-05-23-la-hausse-de-la-vacance-commerciale-reprend-dans-les-centres-villes/" TargetMode="External"/><Relationship Id="rId52" Type="http://schemas.openxmlformats.org/officeDocument/2006/relationships/hyperlink" Target="https://pointsdevente.fr/fil-info/2024-05-23-la-hausse-de-la-vacance-commerciale-reprend-dans-les-centres-villes/" TargetMode="External"/><Relationship Id="rId53" Type="http://schemas.openxmlformats.org/officeDocument/2006/relationships/hyperlink" Target="https://www.codata.eu/blog/quel-bilan-tirer-du-plan-acv-sur-la-vacance-commerciale-des-centres-villes-de-villes-moyennes/" TargetMode="External"/><Relationship Id="rId54" Type="http://schemas.openxmlformats.org/officeDocument/2006/relationships/hyperlink" Target="https://www.codata.eu/blog/quel-bilan-tirer-du-plan-acv-sur-la-vacance-commerciale-des-centres-villes-de-villes-moyennes/" TargetMode="External"/><Relationship Id="rId55" Type="http://schemas.openxmlformats.org/officeDocument/2006/relationships/hyperlink" Target="https://www.codata.eu/blog/quel-bilan-tirer-du-plan-acv-sur-la-vacance-commerciale-des-centres-villes-de-villes-moyennes/" TargetMode="External"/><Relationship Id="rId56" Type="http://schemas.openxmlformats.org/officeDocument/2006/relationships/hyperlink" Target="https://www.codata.eu/blog/quel-bilan-tirer-du-plan-acv-sur-la-vacance-commerciale-des-centres-villes-de-villes-moyennes/" TargetMode="External"/><Relationship Id="rId57" Type="http://schemas.openxmlformats.org/officeDocument/2006/relationships/hyperlink" Target="https://www.procos.org/images/procos/presse/2025/Conf_0225/procos_dp_120225_site.pdf" TargetMode="External"/><Relationship Id="rId58" Type="http://schemas.openxmlformats.org/officeDocument/2006/relationships/hyperlink" Target="https://www.ccomptes.fr/sites/default/files/2023-10/20230929-politiques-publiques-commerce-proximite.pdf" TargetMode="External"/><Relationship Id="rId59" Type="http://schemas.openxmlformats.org/officeDocument/2006/relationships/hyperlink" Target="https://www.ccomptes.fr/sites/default/files/2023-10/20230929-politiques-publiques-commerce-proximite.pdf" TargetMode="External"/><Relationship Id="rId60" Type="http://schemas.openxmlformats.org/officeDocument/2006/relationships/hyperlink" Target="https://www.ccomptes.fr/sites/default/files/2023-10/20230929-politiques-publiques-commerce-proximite.pdf" TargetMode="External"/><Relationship Id="rId61" Type="http://schemas.openxmlformats.org/officeDocument/2006/relationships/hyperlink" Target="https://www.ccomptes.fr/fr/publications/le-rapport-public-annuel-2026" TargetMode="External"/><Relationship Id="rId62" Type="http://schemas.openxmlformats.org/officeDocument/2006/relationships/hyperlink" Target="https://www.procos.org/images/procos/presse/2025/Conf_0225/procos_dp_120225_site.pdf" TargetMode="External"/><Relationship Id="rId63" Type="http://schemas.openxmlformats.org/officeDocument/2006/relationships/hyperlink" Target="https://www.procos.org/images/procos/presse/2025/Conf_0225/procos_dp_120225_site.pdf" TargetMode="External"/><Relationship Id="rId64" Type="http://schemas.openxmlformats.org/officeDocument/2006/relationships/hyperlink" Target="https://www.procos.org/images/procos/presse/2025/Conf_0225/procos_dp_120225_site.pdf" TargetMode="External"/><Relationship Id="rId65" Type="http://schemas.openxmlformats.org/officeDocument/2006/relationships/hyperlink" Target="https://www.ccomptes.fr/sites/default/files/2023-10/20230929-politiques-publiques-commerce-proximite.pdf" TargetMode="External"/><Relationship Id="rId66" Type="http://schemas.openxmlformats.org/officeDocument/2006/relationships/hyperlink" Target="https://www.ccomptes.fr/sites/default/files/2023-10/20230929-politiques-publiques-commerce-proximite.pdf" TargetMode="External"/><Relationship Id="rId67" Type="http://schemas.openxmlformats.org/officeDocument/2006/relationships/hyperlink" Target="https://www.ccomptes.fr/sites/default/files/2023-10/20230929-politiques-publiques-commerce-proximite.pdf" TargetMode="External"/><Relationship Id="rId68" Type="http://schemas.openxmlformats.org/officeDocument/2006/relationships/hyperlink" Target="https://www.ccomptes.fr/sites/default/files/2023-10/20230929-politiques-publiques-commerce-proximite.pdf" TargetMode="External"/><Relationship Id="rId69" Type="http://schemas.openxmlformats.org/officeDocument/2006/relationships/hyperlink" Target="https://www.ccomptes.fr/sites/default/files/2023-10/20230929-politiques-publiques-commerce-proximite.pdf" TargetMode="External"/><Relationship Id="rId70" Type="http://schemas.openxmlformats.org/officeDocument/2006/relationships/hyperlink" Target="https://www.ccomptes.fr/sites/default/files/2023-10/20230929-politiques-publiques-commerce-proximite.pdf" TargetMode="External"/><Relationship Id="rId71" Type="http://schemas.openxmlformats.org/officeDocument/2006/relationships/hyperlink" Target="https://www.senat.fr/rap/r21-910/r21-9109.html" TargetMode="External"/><Relationship Id="rId72" Type="http://schemas.openxmlformats.org/officeDocument/2006/relationships/hyperlink" Target="https://lechommerces.fr/la-vacance-commerciale-progresse-de-nouveau-en-france/" TargetMode="External"/><Relationship Id="rId73" Type="http://schemas.openxmlformats.org/officeDocument/2006/relationships/hyperlink" Target="https://www.icade.fr/content/download/7372/file/barom&#232;tre-entr&#233;es-de-ville-2e-edition-cap-sur-projets.pdf" TargetMode="External"/><Relationship Id="rId74" Type="http://schemas.openxmlformats.org/officeDocument/2006/relationships/hyperlink" Target="https://www.cae-eco.fr/" TargetMode="External"/><Relationship Id="rId75" Type="http://schemas.openxmlformats.org/officeDocument/2006/relationships/hyperlink" Target="https://anct.gouv.fr/quartiers-prioritaires" TargetMode="External"/><Relationship Id="rId76" Type="http://schemas.openxmlformats.org/officeDocument/2006/relationships/hyperlink" Target="https://anct.gouv.fr/quartiers-prioritaires" TargetMode="External"/><Relationship Id="rId77" Type="http://schemas.openxmlformats.org/officeDocument/2006/relationships/hyperlink" Target="https://www.inegalites.fr/Chomage-QPV" TargetMode="External"/><Relationship Id="rId78" Type="http://schemas.openxmlformats.org/officeDocument/2006/relationships/hyperlink" Target="https://www.inegalites.fr/Les-revenus-et-la-pauvrete-dans-les-quartiers-les-plus-en-difficulte" TargetMode="External"/><Relationship Id="rId79" Type="http://schemas.openxmlformats.org/officeDocument/2006/relationships/hyperlink" Target="https://www.inegalites.fr/Les-revenus-et-la-pauvrete-dans-les-quartiers-les-plus-en-difficulte" TargetMode="External"/><Relationship Id="rId80" Type="http://schemas.openxmlformats.org/officeDocument/2006/relationships/hyperlink" Target="https://www.onpv.fr/uploads/media_items/onpv-dossier-entreprises-2023.original.pdf" TargetMode="External"/><Relationship Id="rId81" Type="http://schemas.openxmlformats.org/officeDocument/2006/relationships/hyperlink" Target="https://www.onpv.fr/uploads/media_items/onpv-dossier-entreprises-2023.original.pdf" TargetMode="External"/><Relationship Id="rId82" Type="http://schemas.openxmlformats.org/officeDocument/2006/relationships/hyperlink" Target="https://www.onpv.fr/uploads/media_items/onpv-dossier-entreprises-2023.original.pdf" TargetMode="External"/><Relationship Id="rId83" Type="http://schemas.openxmlformats.org/officeDocument/2006/relationships/hyperlink" Target="https://www.anru.fr/la-docutheque/le-commerce-dans-les-quartiers-prioritaires-en-renouvellement-urbain" TargetMode="External"/><Relationship Id="rId84" Type="http://schemas.openxmlformats.org/officeDocument/2006/relationships/hyperlink" Target="https://www.lsa-conso.fr/l-epareca-aide-les-quartiers-sensibles,34533" TargetMode="External"/><Relationship Id="rId85" Type="http://schemas.openxmlformats.org/officeDocument/2006/relationships/hyperlink" Target="https://media.anct.gouv.fr/s3fs-public/2024-10/DP_ANCT_LE%20MANS_2024_v4%20(7).pdf" TargetMode="External"/><Relationship Id="rId86" Type="http://schemas.openxmlformats.org/officeDocument/2006/relationships/hyperlink" Target="https://www.entreprises.gouv.fr/files/files/Publications/2025/rapports-activite/ra-cnac-2024.pdf" TargetMode="External"/><Relationship Id="rId87" Type="http://schemas.openxmlformats.org/officeDocument/2006/relationships/hyperlink" Target="https://www.entreprises.gouv.fr/files/files/Publications/2025/rapports-activite/ra-cnac-2024.pdf" TargetMode="External"/><Relationship Id="rId88" Type="http://schemas.openxmlformats.org/officeDocument/2006/relationships/hyperlink" Target="https://www.entreprises.gouv.fr/files/files/Publications/2025/rapports-activite/ra-cnac-2024.pdf" TargetMode="External"/><Relationship Id="rId89" Type="http://schemas.openxmlformats.org/officeDocument/2006/relationships/hyperlink" Target="https://www.entreprises.gouv.fr/files/files/Publications/2025/rapports-activite/ra-cnac-2024.pdf" TargetMode="External"/><Relationship Id="rId90" Type="http://schemas.openxmlformats.org/officeDocument/2006/relationships/hyperlink" Target="https://www.entreprises.gouv.fr/files/files/Publications/2025/rapports-activite/ra-cnac-2024.pdf" TargetMode="External"/><Relationship Id="rId91" Type="http://schemas.openxmlformats.org/officeDocument/2006/relationships/hyperlink" Target="https://www.entreprises.gouv.fr/files/files/Publications/2025/rapports-activite/ra-cnac-2024.pdf" TargetMode="External"/><Relationship Id="rId92" Type="http://schemas.openxmlformats.org/officeDocument/2006/relationships/hyperlink" Target="https://www.entreprises.gouv.fr/files/files/Publications/2025/rapports-activite/ra-cnac-2024.pdf" TargetMode="External"/><Relationship Id="rId93" Type="http://schemas.openxmlformats.org/officeDocument/2006/relationships/hyperlink" Target="https://www.entreprises.gouv.fr/files/files/Publications/2025/rapports-activite/ra-cnac-2024.pdf" TargetMode="External"/><Relationship Id="rId94" Type="http://schemas.openxmlformats.org/officeDocument/2006/relationships/hyperlink" Target="https://www.entreprises.gouv.fr/files/files/Publications/2025/rapports-activite/ra-cnac-2024.pdf" TargetMode="External"/><Relationship Id="rId95" Type="http://schemas.openxmlformats.org/officeDocument/2006/relationships/hyperlink" Target="https://www.entreprises.gouv.fr/files/files/Publications/2025/rapports-activite/ra-cnac-2024.pdf" TargetMode="External"/><Relationship Id="rId96" Type="http://schemas.openxmlformats.org/officeDocument/2006/relationships/hyperlink" Target="https://www.procos.org/images/procos/presse/2025/Conf_0225/procos_dp_120225_site.pdf" TargetMode="External"/><Relationship Id="rId97" Type="http://schemas.openxmlformats.org/officeDocument/2006/relationships/hyperlink" Target="https://www.procos.org/images/procos/presse/2025/Conf_0225/procos_dp_120225_site.pdf" TargetMode="External"/><Relationship Id="rId98" Type="http://schemas.openxmlformats.org/officeDocument/2006/relationships/hyperlink" Target="https://www.procos.org/images/procos/presse/2025/Conf_0225/procos_dp_120225_site.pdf" TargetMode="External"/><Relationship Id="rId99" Type="http://schemas.openxmlformats.org/officeDocument/2006/relationships/hyperlink" Target="https://www.procos.org/images/procos/presse/2025/Conf_0225/procos_dp_120225_site.pdf" TargetMode="External"/><Relationship Id="rId100" Type="http://schemas.openxmlformats.org/officeDocument/2006/relationships/hyperlink" Target="https://www.procos.org/images/procos/presse/2025/Conf_0225/procos_dp_120225_site.pdf" TargetMode="External"/><Relationship Id="rId101" Type="http://schemas.openxmlformats.org/officeDocument/2006/relationships/hyperlink" Target="https://www.banquedesterritoires.fr/2023-annee-de-transition-de-lamenagement-commercial" TargetMode="External"/><Relationship Id="rId102" Type="http://schemas.openxmlformats.org/officeDocument/2006/relationships/hyperlink" Target="https://www.banquedesterritoires.fr/2023-annee-de-transition-de-lamenagement-commercial" TargetMode="External"/><Relationship Id="rId103" Type="http://schemas.openxmlformats.org/officeDocument/2006/relationships/hyperlink" Target="https://www.banquedesterritoires.fr/2023-annee-de-transition-de-lamenagement-commercial" TargetMode="External"/><Relationship Id="rId104" Type="http://schemas.openxmlformats.org/officeDocument/2006/relationships/hyperlink" Target="https://www.legifrance.gouv.fr/" TargetMode="External"/><Relationship Id="rId105" Type="http://schemas.openxmlformats.org/officeDocument/2006/relationships/hyperlink" Target="https://www.legifrance.gouv.fr/" TargetMode="External"/><Relationship Id="rId106" Type="http://schemas.openxmlformats.org/officeDocument/2006/relationships/hyperlink" Target="https://www.legifrance.gouv.fr/" TargetMode="External"/><Relationship Id="rId107" Type="http://schemas.openxmlformats.org/officeDocument/2006/relationships/hyperlink" Target="https://www.legifrance.gouv.fr/" TargetMode="External"/><Relationship Id="rId108" Type="http://schemas.openxmlformats.org/officeDocument/2006/relationships/hyperlink" Target="https://www.legifrance.gouv.fr/" TargetMode="External"/><Relationship Id="rId109" Type="http://schemas.openxmlformats.org/officeDocument/2006/relationships/hyperlink" Target="https://www.entreprises.gouv.fr/files/files/Publications/2025/rapports-activite/ra-cnac-2024.pdf" TargetMode="External"/><Relationship Id="rId110" Type="http://schemas.openxmlformats.org/officeDocument/2006/relationships/hyperlink" Target="https://artificialisation.developpement-durable.gouv.fr/actualites/parution-des-donnees-consommation-despaces-naturels-agricoles-et-forestiers-2011-2025" TargetMode="External"/><Relationship Id="rId111" Type="http://schemas.openxmlformats.org/officeDocument/2006/relationships/hyperlink" Target="https://www.entreprises.gouv.fr/files/files/Publications/2025/rapports-activite/ra-cnac-2024.pdf" TargetMode="External"/><Relationship Id="rId112" Type="http://schemas.openxmlformats.org/officeDocument/2006/relationships/hyperlink" Target="https://www.cerema.fr/fr/actualites/artificialisation-sols-quelle-dynamique" TargetMode="External"/><Relationship Id="rId113" Type="http://schemas.openxmlformats.org/officeDocument/2006/relationships/hyperlink" Target="https://www.cerema.fr/fr/actualites/artificialisation-sols-quelle-dynamique" TargetMode="External"/><Relationship Id="rId114" Type="http://schemas.openxmlformats.org/officeDocument/2006/relationships/hyperlink" Target="https://www.cerema.fr/fr/actualites/potentiel-reindustrialisation-friches" TargetMode="External"/><Relationship Id="rId115" Type="http://schemas.openxmlformats.org/officeDocument/2006/relationships/hyperlink" Target="https://www.cerema.fr/fr/actualites/zones-commerciales-centres-villes-trouver-bon-equilibre" TargetMode="External"/><Relationship Id="rId116" Type="http://schemas.openxmlformats.org/officeDocument/2006/relationships/hyperlink" Target="https://www.cerema.fr/fr/actualites/zones-commerciales-centres-villes-trouver-bon-equilibre" TargetMode="External"/><Relationship Id="rId117" Type="http://schemas.openxmlformats.org/officeDocument/2006/relationships/hyperlink" Target="https://www.info.gouv.fr/upload/media/content/0001/07/2dc90efc2c1a0e97572bf027240fac63e4dc9d75.pdf" TargetMode="External"/><Relationship Id="rId118" Type="http://schemas.openxmlformats.org/officeDocument/2006/relationships/hyperlink" Target="https://www.procos.org/images/procos/presse/2025/Conf_0225/procos_dp_120225_site.pdf" TargetMode="External"/><Relationship Id="rId119" Type="http://schemas.openxmlformats.org/officeDocument/2006/relationships/hyperlink" Target="https://www.procos.org/images/procos/presse/2025/Conf_0225/procos_dp_120225_site.pdf" TargetMode="External"/><Relationship Id="rId120" Type="http://schemas.openxmlformats.org/officeDocument/2006/relationships/hyperlink" Target="https://www.procos.org/images/procos/presse/2025/Conf_0225/procos_dp_120225_site.pdf" TargetMode="External"/><Relationship Id="rId121" Type="http://schemas.openxmlformats.org/officeDocument/2006/relationships/hyperlink" Target="https://www.icade.fr/content/download/7372/file/barom&#232;tre-entr&#233;es-de-ville-2e-edition-cap-sur-projets.pdf" TargetMode="External"/><Relationship Id="rId122" Type="http://schemas.openxmlformats.org/officeDocument/2006/relationships/hyperlink" Target="https://www.icade.fr/content/download/7372/file/barom&#232;tre-entr&#233;es-de-ville-2e-edition-cap-sur-projets.pdf" TargetMode="External"/><Relationship Id="rId123" Type="http://schemas.openxmlformats.org/officeDocument/2006/relationships/hyperlink" Target="https://www.icade.fr/content/download/7372/file/barom&#232;tre-entr&#233;es-de-ville-2e-edition-cap-sur-projets.pdf" TargetMode="External"/><Relationship Id="rId124" Type="http://schemas.openxmlformats.org/officeDocument/2006/relationships/hyperlink" Target="https://www.icade.fr/content/download/7372/file/barom&#232;tre-entr&#233;es-de-ville-2e-edition-cap-sur-projets.pdf" TargetMode="External"/><Relationship Id="rId125" Type="http://schemas.openxmlformats.org/officeDocument/2006/relationships/hyperlink" Target="https://www.icade.fr/content/download/7372/file/barom&#232;tre-entr&#233;es-de-ville-2e-edition-cap-sur-projets.pdf" TargetMode="External"/><Relationship Id="rId126" Type="http://schemas.openxmlformats.org/officeDocument/2006/relationships/hyperlink" Target="https://www.icade.fr/content/download/7372/file/barom&#232;tre-entr&#233;es-de-ville-2e-edition-cap-sur-projets.pdf" TargetMode="External"/><Relationship Id="rId127" Type="http://schemas.openxmlformats.org/officeDocument/2006/relationships/hyperlink" Target="https://www.icade.fr/content/download/7372/file/barom&#232;tre-entr&#233;es-de-ville-2e-edition-cap-sur-projets.pdf" TargetMode="External"/><Relationship Id="rId128" Type="http://schemas.openxmlformats.org/officeDocument/2006/relationships/hyperlink" Target="https://www.icade.fr/content/download/7372/file/barom&#232;tre-entr&#233;es-de-ville-2e-edition-cap-sur-projets.pdf" TargetMode="External"/><Relationship Id="rId129" Type="http://schemas.openxmlformats.org/officeDocument/2006/relationships/hyperlink" Target="https://www.icade.fr/content/download/7372/file/barom&#232;tre-entr&#233;es-de-ville-2e-edition-cap-sur-projets.pdf" TargetMode="External"/><Relationship Id="rId130" Type="http://schemas.openxmlformats.org/officeDocument/2006/relationships/hyperlink" Target="https://www.icade.fr/content/download/7372/file/barom&#232;tre-entr&#233;es-de-ville-2e-edition-cap-sur-projets.pdf" TargetMode="External"/><Relationship Id="rId131" Type="http://schemas.openxmlformats.org/officeDocument/2006/relationships/hyperlink" Target="https://www.icade.fr/content/download/7372/file/barom&#232;tre-entr&#233;es-de-ville-2e-edition-cap-sur-projets.pdf" TargetMode="External"/><Relationship Id="rId132" Type="http://schemas.openxmlformats.org/officeDocument/2006/relationships/hyperlink" Target="https://anct.gouv.fr/programmes-dispositifs/action-coeur-de-ville" TargetMode="External"/><Relationship Id="rId133" Type="http://schemas.openxmlformats.org/officeDocument/2006/relationships/hyperlink" Target="https://anct.gouv.fr/programmes-dispositifs/action-coeur-de-ville" TargetMode="External"/><Relationship Id="rId134" Type="http://schemas.openxmlformats.org/officeDocument/2006/relationships/hyperlink" Target="https://www.banquedesterritoires.fr/programme-action-coeur-de-ville-2026" TargetMode="External"/><Relationship Id="rId135" Type="http://schemas.openxmlformats.org/officeDocument/2006/relationships/hyperlink" Target="https://www.banquedesterritoires.fr/programme-action-coeur-de-ville-2026" TargetMode="External"/><Relationship Id="rId136" Type="http://schemas.openxmlformats.org/officeDocument/2006/relationships/hyperlink" Target="https://anct.gouv.fr/programmes-dispositifs/action-coeur-de-ville" TargetMode="External"/><Relationship Id="rId137" Type="http://schemas.openxmlformats.org/officeDocument/2006/relationships/hyperlink" Target="https://www.aefinfo.fr/depeche/679781-action-coeur-de-ville-un-programme-ambitieux-mais-difficile-a-evaluer-selon-la-cour-des-comptes" TargetMode="External"/><Relationship Id="rId138" Type="http://schemas.openxmlformats.org/officeDocument/2006/relationships/hyperlink" Target="https://www.aefinfo.fr/depeche/679781-action-coeur-de-ville-un-programme-ambitieux-mais-difficile-a-evaluer-selon-la-cour-des-comptes" TargetMode="External"/><Relationship Id="rId139" Type="http://schemas.openxmlformats.org/officeDocument/2006/relationships/hyperlink" Target="https://www.senat.fr/rap/r21-910/r21-9109.html" TargetMode="External"/><Relationship Id="rId140" Type="http://schemas.openxmlformats.org/officeDocument/2006/relationships/hyperlink" Target="https://anct.gouv.fr/actualites/petites-villes-de-demain-3-ans-d-engagement-et-11-milliard-d-euros-investis" TargetMode="External"/><Relationship Id="rId141" Type="http://schemas.openxmlformats.org/officeDocument/2006/relationships/hyperlink" Target="https://anct.gouv.fr/actualites/petites-villes-de-demain-3-ans-d-engagement-et-11-milliard-d-euros-investis" TargetMode="External"/><Relationship Id="rId142" Type="http://schemas.openxmlformats.org/officeDocument/2006/relationships/hyperlink" Target="https://anct.gouv.fr/actualites/petites-villes-de-demain-3-ans-d-engagement-et-11-milliard-d-euros-investis" TargetMode="External"/><Relationship Id="rId143" Type="http://schemas.openxmlformats.org/officeDocument/2006/relationships/hyperlink" Target="https://www.banquedesterritoires.fr/la-banque-des-territoires-deploie-un-milliard-deuros-pour-soutenir-le-commerce" TargetMode="External"/><Relationship Id="rId144" Type="http://schemas.openxmlformats.org/officeDocument/2006/relationships/hyperlink" Target="https://www.banquedesterritoires.fr/la-banque-des-territoires-deploie-un-milliard-deuros-pour-soutenir-le-commerce" TargetMode="External"/><Relationship Id="rId145" Type="http://schemas.openxmlformats.org/officeDocument/2006/relationships/hyperlink" Target="https://www.entreprises.gouv.fr/la-direction-generale-des-entreprises/actualites/annonce-74-laureats-plan-transformation-zones-commerciales" TargetMode="External"/><Relationship Id="rId146" Type="http://schemas.openxmlformats.org/officeDocument/2006/relationships/hyperlink" Target="https://www.entreprises.gouv.fr/la-direction-generale-des-entreprises/actualites/annonce-74-laureats-plan-transformation-zones-commerciales" TargetMode="External"/><Relationship Id="rId147" Type="http://schemas.openxmlformats.org/officeDocument/2006/relationships/hyperlink" Target="https://www.ccomptes.fr/sites/default/files/2023-10/20230929-politiques-publiques-commerce-proximite.pdf" TargetMode="External"/><Relationship Id="rId148" Type="http://schemas.openxmlformats.org/officeDocument/2006/relationships/hyperlink" Target="https://www.ccomptes.fr/sites/default/files/2023-10/20230929-politiques-publiques-commerce-proximite.pdf" TargetMode="External"/><Relationship Id="rId149" Type="http://schemas.openxmlformats.org/officeDocument/2006/relationships/hyperlink" Target="https://www.ccomptes.fr/sites/default/files/2023-10/20230929-politiques-publiques-commerce-proximite.pdf" TargetMode="External"/><Relationship Id="rId150" Type="http://schemas.openxmlformats.org/officeDocument/2006/relationships/hyperlink" Target="https://www.ccomptes.fr/sites/default/files/2023-10/20230929-politiques-publiques-commerce-proximite.pdf" TargetMode="External"/><Relationship Id="rId151" Type="http://schemas.openxmlformats.org/officeDocument/2006/relationships/hyperlink" Target="https://www.ccomptes.fr/sites/default/files/2023-10/20230929-politiques-publiques-commerce-proximite.pdf" TargetMode="External"/><Relationship Id="rId152" Type="http://schemas.openxmlformats.org/officeDocument/2006/relationships/hyperlink" Target="https://www.ccomptes.fr/sites/default/files/2023-10/20230929-politiques-publiques-commerce-proximite.pdf" TargetMode="External"/><Relationship Id="rId153" Type="http://schemas.openxmlformats.org/officeDocument/2006/relationships/hyperlink" Target="https://www.ccomptes.fr/sites/default/files/2023-10/20230929-politiques-publiques-commerce-proximite.pdf" TargetMode="External"/><Relationship Id="rId154" Type="http://schemas.openxmlformats.org/officeDocument/2006/relationships/hyperlink" Target="https://www.ccomptes.fr/sites/default/files/2023-10/20230929-politiques-publiques-commerce-proximite.pdf" TargetMode="External"/><Relationship Id="rId155" Type="http://schemas.openxmlformats.org/officeDocument/2006/relationships/hyperlink" Target="https://www.ccomptes.fr/sites/default/files/2023-10/20230929-politiques-publiques-commerce-proximite.pdf" TargetMode="External"/><Relationship Id="rId156" Type="http://schemas.openxmlformats.org/officeDocument/2006/relationships/hyperlink" Target="https://www.banquedesterritoires.fr/sites/default/files/2025-11/Rapport-mission-commerce-de-proximite-centres-villes-QPVf.pdf" TargetMode="External"/><Relationship Id="rId157" Type="http://schemas.openxmlformats.org/officeDocument/2006/relationships/hyperlink" Target="https://www.senat.fr/rap/r21-910/r21-9109.html" TargetMode="External"/><Relationship Id="rId158" Type="http://schemas.openxmlformats.org/officeDocument/2006/relationships/hyperlink" Target="https://www.cae-eco.fr/" TargetMode="External"/><Relationship Id="rId159" Type="http://schemas.openxmlformats.org/officeDocument/2006/relationships/hyperlink" Target="https://www.cae-eco.fr/" TargetMode="External"/><Relationship Id="rId160"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s://www.cerema.fr/fr/actualites/accompagner-mutation-zones-commerciales-peripherie" TargetMode="External"/><Relationship Id="rId2" Type="http://schemas.openxmlformats.org/officeDocument/2006/relationships/hyperlink" Target="https://www.cerema.fr/fr/actualites/donnees-geolocalisation-1500-zones-commerciales-peripherie" TargetMode="External"/><Relationship Id="rId3" Type="http://schemas.openxmlformats.org/officeDocument/2006/relationships/hyperlink" Target="https://www.cerema.fr/fr/actualites/zones-commerciales-centres-villes-trouver-bon-equilibre" TargetMode="External"/><Relationship Id="rId4" Type="http://schemas.openxmlformats.org/officeDocument/2006/relationships/hyperlink" Target="https://www.cerema.fr/fr/actualites/potentiel-reindustrialisation-friches" TargetMode="External"/><Relationship Id="rId5" Type="http://schemas.openxmlformats.org/officeDocument/2006/relationships/hyperlink" Target="https://www.insee.fr/fr/statistiques/5386414" TargetMode="External"/><Relationship Id="rId6" Type="http://schemas.openxmlformats.org/officeDocument/2006/relationships/hyperlink" Target="https://www.insee.fr/fr/statistiques/4248184" TargetMode="External"/><Relationship Id="rId7" Type="http://schemas.openxmlformats.org/officeDocument/2006/relationships/hyperlink" Target="https://www.insee.fr/fr/statistiques/8730497" TargetMode="External"/><Relationship Id="rId8" Type="http://schemas.openxmlformats.org/officeDocument/2006/relationships/hyperlink" Target="https://www.info.gouv.fr/upload/media/content/0001/07/2dc90efc2c1a0e97572bf027240fac63e4dc9d75.pdf" TargetMode="External"/><Relationship Id="rId9" Type="http://schemas.openxmlformats.org/officeDocument/2006/relationships/hyperlink" Target="https://www.procos.org/images/procos/presse/2025/Conf_0225/procos_dp_120225_site.pdf" TargetMode="External"/><Relationship Id="rId10" Type="http://schemas.openxmlformats.org/officeDocument/2006/relationships/hyperlink" Target="https://www.entreprises.gouv.fr/files/files/Publications/2025/rapports-activite/ra-cnac-2024.pdf" TargetMode="External"/><Relationship Id="rId11" Type="http://schemas.openxmlformats.org/officeDocument/2006/relationships/hyperlink" Target="https://www.icade.fr/content/download/7372/file/barom&#232;tre-entr&#233;es-de-ville-2e-edition-cap-sur-projets.pdf" TargetMode="External"/><Relationship Id="rId12" Type="http://schemas.openxmlformats.org/officeDocument/2006/relationships/hyperlink" Target="https://www.cae-eco.fr/" TargetMode="External"/><Relationship Id="rId13" Type="http://schemas.openxmlformats.org/officeDocument/2006/relationships/hyperlink" Target="https://lechommerces.fr/la-vacance-commerciale-progresse-de-nouveau-en-france/" TargetMode="External"/><Relationship Id="rId14" Type="http://schemas.openxmlformats.org/officeDocument/2006/relationships/hyperlink" Target="https://www.codata.eu/blog/quel-bilan-tirer-du-plan-acv-sur-la-vacance-commerciale-des-centres-villes-de-villes-moyennes/" TargetMode="External"/><Relationship Id="rId15" Type="http://schemas.openxmlformats.org/officeDocument/2006/relationships/hyperlink" Target="https://pointsdevente.fr/fil-info/2024-05-23-la-hausse-de-la-vacance-commerciale-reprend-dans-les-centres-villes/" TargetMode="External"/><Relationship Id="rId16" Type="http://schemas.openxmlformats.org/officeDocument/2006/relationships/hyperlink" Target="https://www.publicsenat.fr/actualites/territoires/revitalisation-des-centres-villes-un-rapport-du-senat-pointe-un-sous" TargetMode="External"/><Relationship Id="rId17" Type="http://schemas.openxmlformats.org/officeDocument/2006/relationships/hyperlink" Target="https://www.cerema.fr/fr/actualites/zones-commerciales-centres-villes-trouver-bon-equilibre" TargetMode="External"/><Relationship Id="rId18" Type="http://schemas.openxmlformats.org/officeDocument/2006/relationships/hyperlink" Target="https://www.banquedesterritoires.fr/vacance-commerciale-les-remedes-de-linstitut-pour-la-ville-et-le-commerce" TargetMode="External"/><Relationship Id="rId19" Type="http://schemas.openxmlformats.org/officeDocument/2006/relationships/hyperlink" Target="https://www.banquedesterritoires.fr/la-progression-de-la-vacance-commerciale-ralentit-surtout-dans-les-villes-moyennes" TargetMode="External"/><Relationship Id="rId20" Type="http://schemas.openxmlformats.org/officeDocument/2006/relationships/hyperlink" Target="https://www.senat.fr/rap/r21-910/r21-9109.html" TargetMode="External"/><Relationship Id="rId21" Type="http://schemas.openxmlformats.org/officeDocument/2006/relationships/hyperlink" Target="https://www.ccomptes.fr/sites/default/files/2023-10/20230929-politiques-publiques-commerce-proximite.pdf" TargetMode="External"/><Relationship Id="rId22" Type="http://schemas.openxmlformats.org/officeDocument/2006/relationships/hyperlink" Target="https://www.ccomptes.fr/sites/default/files/EzPublish/07-politique-de-la-ville-RPA2016-Tome-2.pdf" TargetMode="External"/><Relationship Id="rId23" Type="http://schemas.openxmlformats.org/officeDocument/2006/relationships/hyperlink" Target="https://www.ccomptes.fr/fr/publications/levaluation-de-lattractivite-des-quartiers-prioritaires" TargetMode="External"/><Relationship Id="rId24" Type="http://schemas.openxmlformats.org/officeDocument/2006/relationships/hyperlink" Target="https://www.aefinfo.fr/depeche/679781-action-coeur-de-ville-un-programme-ambitieux-mais-difficile-a-evaluer-selon-la-cour-des-comptes" TargetMode="External"/><Relationship Id="rId25" Type="http://schemas.openxmlformats.org/officeDocument/2006/relationships/hyperlink" Target="https://www.banquedesterritoires.fr/sites/default/files/2025-11/Rapport-mission-commerce-de-proximite-centres-villes-QPVf.pdf" TargetMode="External"/><Relationship Id="rId26" Type="http://schemas.openxmlformats.org/officeDocument/2006/relationships/hyperlink" Target="https://www.entreprises.gouv.fr/la-dge/actualites/mission-sur-lavenir-du-commerce-de-proximite-neuf-mesures-retenues-pour" TargetMode="External"/><Relationship Id="rId27" Type="http://schemas.openxmlformats.org/officeDocument/2006/relationships/hyperlink" Target="https://www.senat.fr/rap/r06-049-1/r06-049-1_mono.html" TargetMode="External"/><Relationship Id="rId28" Type="http://schemas.openxmlformats.org/officeDocument/2006/relationships/hyperlink" Target="https://www.onpv.fr/uploads/media_items/onpv-dossier-entreprises-2023.original.pdf" TargetMode="External"/><Relationship Id="rId29" Type="http://schemas.openxmlformats.org/officeDocument/2006/relationships/hyperlink" Target="https://www.inegalites.fr/Chomage-QPV" TargetMode="External"/><Relationship Id="rId30" Type="http://schemas.openxmlformats.org/officeDocument/2006/relationships/hyperlink" Target="https://www.inegalites.fr/Les-revenus-et-la-pauvrete-dans-les-quartiers-les-plus-en-difficulte" TargetMode="External"/><Relationship Id="rId31" Type="http://schemas.openxmlformats.org/officeDocument/2006/relationships/hyperlink" Target="https://anct.gouv.fr/quartiers-prioritaires" TargetMode="External"/><Relationship Id="rId32" Type="http://schemas.openxmlformats.org/officeDocument/2006/relationships/hyperlink" Target="https://www.anru.fr/la-docutheque/le-commerce-dans-les-quartiers-prioritaires-en-renouvellement-urbain" TargetMode="External"/><Relationship Id="rId33" Type="http://schemas.openxmlformats.org/officeDocument/2006/relationships/hyperlink" Target="https://anct.gouv.fr/programmes-dispositifs/action-coeur-de-ville" TargetMode="External"/><Relationship Id="rId34" Type="http://schemas.openxmlformats.org/officeDocument/2006/relationships/hyperlink" Target="https://www.banquedesterritoires.fr/programme-action-coeur-de-ville-2026" TargetMode="External"/><Relationship Id="rId35" Type="http://schemas.openxmlformats.org/officeDocument/2006/relationships/hyperlink" Target="https://anct.gouv.fr/actualites/petites-villes-de-demain-3-ans-d-engagement-et-11-milliard-d-euros-investis" TargetMode="External"/><Relationship Id="rId36" Type="http://schemas.openxmlformats.org/officeDocument/2006/relationships/hyperlink" Target="https://www.banquedesterritoires.fr/la-banque-des-territoires-deploie-un-milliard-deuros-pour-soutenir-le-commerce" TargetMode="External"/><Relationship Id="rId37" Type="http://schemas.openxmlformats.org/officeDocument/2006/relationships/hyperlink" Target="https://www.entreprises.gouv.fr/la-direction-generale-des-entreprises/actualites/annonce-74-laureats-plan-transformation-zones-commerciales" TargetMode="External"/><Relationship Id="rId38" Type="http://schemas.openxmlformats.org/officeDocument/2006/relationships/hyperlink" Target="https://www.banquedesterritoires.fr/2023-annee-de-transition-de-lamenagement-commercial" TargetMode="External"/><Relationship Id="rId39" Type="http://schemas.openxmlformats.org/officeDocument/2006/relationships/hyperlink" Target="https://artificialisation.developpement-durable.gouv.fr/actualites/parution-des-donnees-consommation-despaces-naturels-agricoles-et-forestiers-2011-2025" TargetMode="External"/><Relationship Id="rId40" Type="http://schemas.openxmlformats.org/officeDocument/2006/relationships/hyperlink" Target="https://www.cerema.fr/fr/actualites/artificialisation-sols-quelle-dynamique" TargetMode="External"/><Relationship Id="rId41" Type="http://schemas.openxmlformats.org/officeDocument/2006/relationships/hyperlink" Target="https://www.assemblee-nationale.fr/dyn/15/rapports/cion-dvp/l15b4968_rapport-information.pdf" TargetMode="External"/><Relationship Id="rId42" Type="http://schemas.openxmlformats.org/officeDocument/2006/relationships/hyperlink" Target="https://www.lsa-conso.fr/la-peripherie-urbaine-aimante-le-commerce,323561" TargetMode="External"/><Relationship Id="rId43" Type="http://schemas.openxmlformats.org/officeDocument/2006/relationships/hyperlink" Target="https://www.legifrance.gouv.fr/" TargetMode="External"/><Relationship Id="rId44" Type="http://schemas.openxmlformats.org/officeDocument/2006/relationships/hyperlink" Target="https://www.lsa-conso.fr/l-epareca-aide-les-quartiers-sensibles,34533" TargetMode="External"/><Relationship Id="rId45" Type="http://schemas.openxmlformats.org/officeDocument/2006/relationships/hyperlink" Target="https://media.anct.gouv.fr/s3fs-public/2024-10/DP_ANCT_LE%20MANS_2024_v4%20(7).pdf" TargetMode="External"/><Relationship Id="rId46" Type="http://schemas.openxmlformats.org/officeDocument/2006/relationships/hyperlink" Target="https://www.vie-publique.fr/rapport/24822-le-developpement-des-activites-commerciales-en-centre-ville-rapport-au" TargetMode="External"/><Relationship Id="rId47" Type="http://schemas.openxmlformats.org/officeDocument/2006/relationships/hyperlink" Target="https://www.igf.finances.gouv.fr/igf/accueil/nos-activites/rapports-de-missions/liste-de-tous-les-rapports-de-mi/la-revitalisation-commerciale-de.html" TargetMode="External"/><Relationship Id="rId48" Type="http://schemas.openxmlformats.org/officeDocument/2006/relationships/hyperlink" Target="https://www.ccomptes.fr/fr/publications/le-rapport-public-annuel-2026" TargetMode="External"/><Relationship Id="rId49"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110"/>
  </cols>
  <sheetData>
    <row r="1" customFormat="false" ht="64.15" hidden="false" customHeight="false" outlineLevel="0" collapsed="false">
      <c r="A1" s="1" t="s">
        <v>0</v>
      </c>
    </row>
    <row r="2" customFormat="false" ht="22.35" hidden="false" customHeight="false" outlineLevel="0" collapsed="false">
      <c r="A2" s="2" t="s">
        <v>1</v>
      </c>
    </row>
    <row r="3" customFormat="false" ht="15" hidden="false" customHeight="false" outlineLevel="0" collapsed="false">
      <c r="A3" s="3"/>
    </row>
    <row r="4" customFormat="false" ht="23.85" hidden="false" customHeight="false" outlineLevel="0" collapsed="false">
      <c r="A4" s="4" t="s">
        <v>2</v>
      </c>
      <c r="B4" s="3" t="s">
        <v>3</v>
      </c>
    </row>
    <row r="5" customFormat="false" ht="15" hidden="false" customHeight="false" outlineLevel="0" collapsed="false">
      <c r="A5" s="4" t="s">
        <v>4</v>
      </c>
      <c r="B5" s="3" t="s">
        <v>5</v>
      </c>
    </row>
    <row r="6" customFormat="false" ht="15" hidden="false" customHeight="false" outlineLevel="0" collapsed="false">
      <c r="A6" s="4" t="s">
        <v>6</v>
      </c>
      <c r="B6" s="3" t="s">
        <v>7</v>
      </c>
    </row>
    <row r="7" customFormat="false" ht="23.85" hidden="false" customHeight="false" outlineLevel="0" collapsed="false">
      <c r="A7" s="4" t="s">
        <v>8</v>
      </c>
      <c r="B7" s="3" t="s">
        <v>9</v>
      </c>
    </row>
    <row r="8" customFormat="false" ht="15" hidden="false" customHeight="false" outlineLevel="0" collapsed="false">
      <c r="A8" s="4" t="s">
        <v>10</v>
      </c>
      <c r="B8" s="3" t="s">
        <v>11</v>
      </c>
    </row>
    <row r="9" customFormat="false" ht="15" hidden="false" customHeight="false" outlineLevel="0" collapsed="false">
      <c r="A9" s="4" t="s">
        <v>12</v>
      </c>
      <c r="B9" s="3" t="s">
        <v>13</v>
      </c>
    </row>
    <row r="10" customFormat="false" ht="15" hidden="false" customHeight="false" outlineLevel="0" collapsed="false">
      <c r="A10" s="3"/>
    </row>
    <row r="11" customFormat="false" ht="15" hidden="false" customHeight="false" outlineLevel="0" collapsed="false">
      <c r="A11" s="5" t="s">
        <v>14</v>
      </c>
    </row>
    <row r="12" customFormat="false" ht="15" hidden="false" customHeight="false" outlineLevel="0" collapsed="false">
      <c r="A12" s="4" t="s">
        <v>15</v>
      </c>
      <c r="B12" s="3" t="s">
        <v>16</v>
      </c>
    </row>
    <row r="13" customFormat="false" ht="15" hidden="false" customHeight="false" outlineLevel="0" collapsed="false">
      <c r="A13" s="4" t="s">
        <v>17</v>
      </c>
      <c r="B13" s="3" t="s">
        <v>18</v>
      </c>
    </row>
    <row r="14" customFormat="false" ht="15" hidden="false" customHeight="false" outlineLevel="0" collapsed="false">
      <c r="A14" s="4" t="s">
        <v>19</v>
      </c>
      <c r="B14" s="3" t="s">
        <v>20</v>
      </c>
    </row>
    <row r="15" customFormat="false" ht="15" hidden="false" customHeight="false" outlineLevel="0" collapsed="false">
      <c r="A15" s="4" t="s">
        <v>21</v>
      </c>
      <c r="B15" s="3" t="s">
        <v>22</v>
      </c>
    </row>
    <row r="16" customFormat="false" ht="15" hidden="false" customHeight="false" outlineLevel="0" collapsed="false">
      <c r="A16" s="4" t="s">
        <v>23</v>
      </c>
      <c r="B16" s="3" t="s">
        <v>24</v>
      </c>
    </row>
    <row r="17" customFormat="false" ht="15" hidden="false" customHeight="false" outlineLevel="0" collapsed="false">
      <c r="A17" s="4" t="s">
        <v>25</v>
      </c>
      <c r="B17" s="3" t="s">
        <v>26</v>
      </c>
    </row>
    <row r="18" customFormat="false" ht="15" hidden="false" customHeight="false" outlineLevel="0" collapsed="false">
      <c r="A18" s="3"/>
    </row>
    <row r="19" customFormat="false" ht="15" hidden="false" customHeight="false" outlineLevel="0" collapsed="false">
      <c r="A19" s="5" t="s">
        <v>27</v>
      </c>
    </row>
    <row r="20" customFormat="false" ht="15" hidden="false" customHeight="false" outlineLevel="0" collapsed="false">
      <c r="A20" s="3" t="s">
        <v>28</v>
      </c>
      <c r="B20" s="3" t="s">
        <v>29</v>
      </c>
    </row>
    <row r="21" customFormat="false" ht="23.85" hidden="false" customHeight="false" outlineLevel="0" collapsed="false">
      <c r="A21" s="3" t="s">
        <v>30</v>
      </c>
      <c r="B21" s="3" t="s">
        <v>31</v>
      </c>
    </row>
    <row r="22" customFormat="false" ht="23.85" hidden="false" customHeight="false" outlineLevel="0" collapsed="false">
      <c r="A22" s="3" t="s">
        <v>32</v>
      </c>
      <c r="B22" s="3" t="s">
        <v>33</v>
      </c>
    </row>
    <row r="23" customFormat="false" ht="15" hidden="false" customHeight="false" outlineLevel="0" collapsed="false">
      <c r="A23" s="3" t="s">
        <v>34</v>
      </c>
      <c r="B23" s="3" t="s">
        <v>35</v>
      </c>
    </row>
    <row r="24" customFormat="false" ht="23.85" hidden="false" customHeight="false" outlineLevel="0" collapsed="false">
      <c r="A24" s="3" t="s">
        <v>36</v>
      </c>
      <c r="B24" s="3" t="s">
        <v>37</v>
      </c>
    </row>
    <row r="25" customFormat="false" ht="15" hidden="false" customHeight="false" outlineLevel="0" collapsed="false">
      <c r="A25" s="3"/>
    </row>
    <row r="26" customFormat="false" ht="23.85" hidden="false" customHeight="false" outlineLevel="0" collapsed="false">
      <c r="A26" s="4" t="s">
        <v>38</v>
      </c>
      <c r="B26" s="3" t="s">
        <v>39</v>
      </c>
    </row>
    <row r="27" customFormat="false" ht="23.85" hidden="false" customHeight="false" outlineLevel="0" collapsed="false">
      <c r="A27" s="4" t="s">
        <v>40</v>
      </c>
      <c r="B27" s="3" t="s">
        <v>41</v>
      </c>
    </row>
    <row r="28" customFormat="false" ht="23.85" hidden="false" customHeight="false" outlineLevel="0" collapsed="false">
      <c r="A28" s="4" t="s">
        <v>42</v>
      </c>
      <c r="B28" s="3" t="s">
        <v>43</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1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42"/>
    <col collapsed="false" customWidth="true" hidden="false" outlineLevel="0" max="4" min="4" style="0" width="11"/>
    <col collapsed="false" customWidth="true" hidden="false" outlineLevel="0" max="5" min="5" style="0" width="14"/>
    <col collapsed="false" customWidth="true" hidden="false" outlineLevel="0" max="6" min="6" style="0" width="15"/>
    <col collapsed="false" customWidth="true" hidden="false" outlineLevel="0" max="7" min="7" style="0" width="20"/>
    <col collapsed="false" customWidth="true" hidden="false" outlineLevel="0" max="8" min="8" style="0" width="52"/>
    <col collapsed="false" customWidth="true" hidden="false" outlineLevel="0" max="9" min="9" style="0" width="8"/>
    <col collapsed="false" customWidth="true" hidden="false" outlineLevel="0" max="10" min="10" style="0" width="34"/>
    <col collapsed="false" customWidth="true" hidden="false" outlineLevel="0" max="11" min="11" style="0" width="13"/>
    <col collapsed="false" customWidth="true" hidden="false" outlineLevel="0" max="12" min="12" style="0" width="24"/>
    <col collapsed="false" customWidth="true" hidden="false" outlineLevel="0" max="14" min="13" style="0" width="30"/>
    <col collapsed="false" customWidth="true" hidden="false" outlineLevel="0" max="15" min="15" style="0" width="40"/>
  </cols>
  <sheetData>
    <row r="1" customFormat="false" ht="17.35" hidden="false" customHeight="false" outlineLevel="0" collapsed="false">
      <c r="A1" s="6" t="s">
        <v>44</v>
      </c>
    </row>
    <row r="2" customFormat="false" ht="15" hidden="false" customHeight="false" outlineLevel="0" collapsed="false">
      <c r="A2" s="7" t="s">
        <v>45</v>
      </c>
    </row>
    <row r="4" customFormat="false" ht="31.5" hidden="false" customHeight="true" outlineLevel="0" collapsed="false">
      <c r="A4" s="8" t="s">
        <v>46</v>
      </c>
      <c r="B4" s="8" t="s">
        <v>47</v>
      </c>
      <c r="C4" s="8" t="s">
        <v>15</v>
      </c>
      <c r="D4" s="8" t="s">
        <v>48</v>
      </c>
      <c r="E4" s="8" t="s">
        <v>49</v>
      </c>
      <c r="F4" s="8" t="s">
        <v>19</v>
      </c>
      <c r="G4" s="8" t="s">
        <v>21</v>
      </c>
      <c r="H4" s="8" t="s">
        <v>50</v>
      </c>
      <c r="I4" s="8" t="s">
        <v>51</v>
      </c>
      <c r="J4" s="8" t="s">
        <v>52</v>
      </c>
      <c r="K4" s="8" t="s">
        <v>53</v>
      </c>
      <c r="L4" s="8" t="s">
        <v>54</v>
      </c>
      <c r="M4" s="8" t="s">
        <v>25</v>
      </c>
      <c r="N4" s="8" t="s">
        <v>55</v>
      </c>
      <c r="O4" s="8" t="s">
        <v>56</v>
      </c>
    </row>
    <row r="5" customFormat="false" ht="23.85" hidden="false" customHeight="false" outlineLevel="0" collapsed="false">
      <c r="A5" s="9" t="n">
        <v>1</v>
      </c>
      <c r="B5" s="9" t="s">
        <v>57</v>
      </c>
      <c r="C5" s="9" t="s">
        <v>58</v>
      </c>
      <c r="D5" s="10" t="n">
        <v>1500</v>
      </c>
      <c r="E5" s="9" t="s">
        <v>59</v>
      </c>
      <c r="F5" s="11" t="s">
        <v>60</v>
      </c>
      <c r="G5" s="9" t="s">
        <v>61</v>
      </c>
      <c r="H5" s="9" t="s">
        <v>62</v>
      </c>
      <c r="I5" s="9" t="s">
        <v>63</v>
      </c>
      <c r="J5" s="9" t="s">
        <v>64</v>
      </c>
      <c r="K5" s="9" t="s">
        <v>65</v>
      </c>
      <c r="L5" s="9" t="s">
        <v>66</v>
      </c>
      <c r="M5" s="9" t="s">
        <v>28</v>
      </c>
      <c r="N5" s="12" t="s">
        <v>67</v>
      </c>
      <c r="O5" s="9"/>
    </row>
    <row r="6" customFormat="false" ht="23.85" hidden="false" customHeight="false" outlineLevel="0" collapsed="false">
      <c r="A6" s="9" t="n">
        <v>2</v>
      </c>
      <c r="B6" s="9" t="s">
        <v>57</v>
      </c>
      <c r="C6" s="9" t="s">
        <v>68</v>
      </c>
      <c r="D6" s="10" t="n">
        <v>500</v>
      </c>
      <c r="E6" s="9" t="s">
        <v>69</v>
      </c>
      <c r="F6" s="11" t="s">
        <v>60</v>
      </c>
      <c r="G6" s="9" t="s">
        <v>61</v>
      </c>
      <c r="H6" s="9" t="s">
        <v>70</v>
      </c>
      <c r="I6" s="9" t="s">
        <v>63</v>
      </c>
      <c r="J6" s="9" t="s">
        <v>64</v>
      </c>
      <c r="K6" s="9" t="s">
        <v>65</v>
      </c>
      <c r="L6" s="9" t="s">
        <v>66</v>
      </c>
      <c r="M6" s="9" t="s">
        <v>28</v>
      </c>
      <c r="N6" s="12" t="s">
        <v>67</v>
      </c>
      <c r="O6" s="9" t="s">
        <v>71</v>
      </c>
    </row>
    <row r="7" customFormat="false" ht="35.05" hidden="false" customHeight="false" outlineLevel="0" collapsed="false">
      <c r="A7" s="9" t="n">
        <v>3</v>
      </c>
      <c r="B7" s="9" t="s">
        <v>57</v>
      </c>
      <c r="C7" s="9" t="s">
        <v>72</v>
      </c>
      <c r="D7" s="10" t="n">
        <v>1527</v>
      </c>
      <c r="E7" s="9" t="s">
        <v>73</v>
      </c>
      <c r="F7" s="11" t="s">
        <v>74</v>
      </c>
      <c r="G7" s="9" t="s">
        <v>75</v>
      </c>
      <c r="H7" s="9" t="s">
        <v>76</v>
      </c>
      <c r="I7" s="9" t="s">
        <v>77</v>
      </c>
      <c r="J7" s="9" t="s">
        <v>78</v>
      </c>
      <c r="K7" s="9" t="s">
        <v>79</v>
      </c>
      <c r="L7" s="9" t="s">
        <v>66</v>
      </c>
      <c r="M7" s="9" t="s">
        <v>28</v>
      </c>
      <c r="N7" s="12" t="s">
        <v>80</v>
      </c>
      <c r="O7" s="9" t="s">
        <v>81</v>
      </c>
    </row>
    <row r="8" customFormat="false" ht="23.85" hidden="false" customHeight="false" outlineLevel="0" collapsed="false">
      <c r="A8" s="9" t="n">
        <v>4</v>
      </c>
      <c r="B8" s="9" t="s">
        <v>57</v>
      </c>
      <c r="C8" s="9" t="s">
        <v>82</v>
      </c>
      <c r="D8" s="10" t="n">
        <v>84</v>
      </c>
      <c r="E8" s="9" t="s">
        <v>83</v>
      </c>
      <c r="F8" s="11" t="s">
        <v>84</v>
      </c>
      <c r="G8" s="9" t="s">
        <v>85</v>
      </c>
      <c r="H8" s="9" t="s">
        <v>86</v>
      </c>
      <c r="I8" s="9" t="s">
        <v>63</v>
      </c>
      <c r="J8" s="9" t="s">
        <v>64</v>
      </c>
      <c r="K8" s="9" t="s">
        <v>65</v>
      </c>
      <c r="L8" s="9" t="s">
        <v>66</v>
      </c>
      <c r="M8" s="9" t="s">
        <v>28</v>
      </c>
      <c r="N8" s="12" t="s">
        <v>67</v>
      </c>
      <c r="O8" s="9" t="s">
        <v>87</v>
      </c>
    </row>
    <row r="9" customFormat="false" ht="23.85" hidden="false" customHeight="false" outlineLevel="0" collapsed="false">
      <c r="A9" s="9" t="n">
        <v>5</v>
      </c>
      <c r="B9" s="9" t="s">
        <v>57</v>
      </c>
      <c r="C9" s="9" t="s">
        <v>88</v>
      </c>
      <c r="D9" s="10" t="n">
        <v>88</v>
      </c>
      <c r="E9" s="9" t="s">
        <v>83</v>
      </c>
      <c r="F9" s="11" t="s">
        <v>84</v>
      </c>
      <c r="G9" s="9" t="s">
        <v>89</v>
      </c>
      <c r="H9" s="9" t="s">
        <v>90</v>
      </c>
      <c r="I9" s="9" t="s">
        <v>63</v>
      </c>
      <c r="J9" s="9" t="s">
        <v>64</v>
      </c>
      <c r="K9" s="9" t="s">
        <v>65</v>
      </c>
      <c r="L9" s="9" t="s">
        <v>66</v>
      </c>
      <c r="M9" s="9" t="s">
        <v>28</v>
      </c>
      <c r="N9" s="12" t="s">
        <v>67</v>
      </c>
      <c r="O9" s="9"/>
    </row>
    <row r="10" customFormat="false" ht="35.05" hidden="false" customHeight="false" outlineLevel="0" collapsed="false">
      <c r="A10" s="9" t="n">
        <v>6</v>
      </c>
      <c r="B10" s="9" t="s">
        <v>57</v>
      </c>
      <c r="C10" s="9" t="s">
        <v>91</v>
      </c>
      <c r="D10" s="10" t="n">
        <v>65</v>
      </c>
      <c r="E10" s="9" t="s">
        <v>83</v>
      </c>
      <c r="F10" s="11" t="s">
        <v>92</v>
      </c>
      <c r="G10" s="9" t="s">
        <v>93</v>
      </c>
      <c r="H10" s="9" t="s">
        <v>94</v>
      </c>
      <c r="I10" s="9" t="s">
        <v>95</v>
      </c>
      <c r="J10" s="9" t="s">
        <v>96</v>
      </c>
      <c r="K10" s="9" t="s">
        <v>97</v>
      </c>
      <c r="L10" s="9" t="s">
        <v>98</v>
      </c>
      <c r="M10" s="9" t="s">
        <v>28</v>
      </c>
      <c r="N10" s="12" t="s">
        <v>99</v>
      </c>
      <c r="O10" s="9" t="s">
        <v>100</v>
      </c>
    </row>
    <row r="11" customFormat="false" ht="35.05" hidden="false" customHeight="false" outlineLevel="0" collapsed="false">
      <c r="A11" s="9" t="n">
        <v>7</v>
      </c>
      <c r="B11" s="9" t="s">
        <v>57</v>
      </c>
      <c r="C11" s="9" t="s">
        <v>101</v>
      </c>
      <c r="D11" s="10" t="n">
        <v>45</v>
      </c>
      <c r="E11" s="9" t="s">
        <v>83</v>
      </c>
      <c r="F11" s="11" t="s">
        <v>92</v>
      </c>
      <c r="G11" s="9" t="s">
        <v>93</v>
      </c>
      <c r="H11" s="9" t="s">
        <v>102</v>
      </c>
      <c r="I11" s="9" t="s">
        <v>95</v>
      </c>
      <c r="J11" s="9" t="s">
        <v>96</v>
      </c>
      <c r="K11" s="9" t="s">
        <v>97</v>
      </c>
      <c r="L11" s="9" t="s">
        <v>98</v>
      </c>
      <c r="M11" s="9" t="s">
        <v>28</v>
      </c>
      <c r="N11" s="12" t="s">
        <v>99</v>
      </c>
      <c r="O11" s="9"/>
    </row>
    <row r="12" customFormat="false" ht="35.05" hidden="false" customHeight="false" outlineLevel="0" collapsed="false">
      <c r="A12" s="9" t="n">
        <v>8</v>
      </c>
      <c r="B12" s="9" t="s">
        <v>57</v>
      </c>
      <c r="C12" s="9" t="s">
        <v>103</v>
      </c>
      <c r="D12" s="10" t="n">
        <v>7951</v>
      </c>
      <c r="E12" s="9" t="s">
        <v>104</v>
      </c>
      <c r="F12" s="11" t="s">
        <v>92</v>
      </c>
      <c r="G12" s="9" t="s">
        <v>93</v>
      </c>
      <c r="H12" s="9" t="s">
        <v>105</v>
      </c>
      <c r="I12" s="9" t="s">
        <v>95</v>
      </c>
      <c r="J12" s="9" t="s">
        <v>96</v>
      </c>
      <c r="K12" s="9" t="s">
        <v>97</v>
      </c>
      <c r="L12" s="9" t="s">
        <v>98</v>
      </c>
      <c r="M12" s="9" t="s">
        <v>28</v>
      </c>
      <c r="N12" s="12" t="s">
        <v>99</v>
      </c>
      <c r="O12" s="9"/>
    </row>
    <row r="13" customFormat="false" ht="46.25" hidden="false" customHeight="false" outlineLevel="0" collapsed="false">
      <c r="A13" s="9" t="n">
        <v>9</v>
      </c>
      <c r="B13" s="9" t="s">
        <v>57</v>
      </c>
      <c r="C13" s="9" t="s">
        <v>106</v>
      </c>
      <c r="D13" s="10" t="n">
        <v>37</v>
      </c>
      <c r="E13" s="9" t="s">
        <v>83</v>
      </c>
      <c r="F13" s="11" t="s">
        <v>107</v>
      </c>
      <c r="G13" s="9" t="s">
        <v>61</v>
      </c>
      <c r="H13" s="9" t="s">
        <v>108</v>
      </c>
      <c r="I13" s="9" t="s">
        <v>109</v>
      </c>
      <c r="J13" s="9" t="s">
        <v>110</v>
      </c>
      <c r="K13" s="9" t="s">
        <v>111</v>
      </c>
      <c r="L13" s="9" t="s">
        <v>98</v>
      </c>
      <c r="M13" s="9" t="s">
        <v>28</v>
      </c>
      <c r="N13" s="12" t="s">
        <v>112</v>
      </c>
      <c r="O13" s="9" t="s">
        <v>113</v>
      </c>
    </row>
    <row r="14" customFormat="false" ht="46.25" hidden="false" customHeight="false" outlineLevel="0" collapsed="false">
      <c r="A14" s="9" t="n">
        <v>10</v>
      </c>
      <c r="B14" s="9" t="s">
        <v>57</v>
      </c>
      <c r="C14" s="9" t="s">
        <v>114</v>
      </c>
      <c r="D14" s="10" t="n">
        <v>586</v>
      </c>
      <c r="E14" s="9" t="s">
        <v>115</v>
      </c>
      <c r="F14" s="11" t="s">
        <v>107</v>
      </c>
      <c r="G14" s="9" t="s">
        <v>61</v>
      </c>
      <c r="H14" s="9" t="s">
        <v>116</v>
      </c>
      <c r="I14" s="9" t="s">
        <v>109</v>
      </c>
      <c r="J14" s="9" t="s">
        <v>110</v>
      </c>
      <c r="K14" s="9" t="s">
        <v>111</v>
      </c>
      <c r="L14" s="9" t="s">
        <v>98</v>
      </c>
      <c r="M14" s="9" t="s">
        <v>28</v>
      </c>
      <c r="N14" s="12" t="s">
        <v>112</v>
      </c>
      <c r="O14" s="9"/>
    </row>
    <row r="15" customFormat="false" ht="46.25" hidden="false" customHeight="false" outlineLevel="0" collapsed="false">
      <c r="A15" s="9" t="n">
        <v>11</v>
      </c>
      <c r="B15" s="9" t="s">
        <v>57</v>
      </c>
      <c r="C15" s="9" t="s">
        <v>117</v>
      </c>
      <c r="D15" s="10" t="n">
        <v>92</v>
      </c>
      <c r="E15" s="9" t="s">
        <v>115</v>
      </c>
      <c r="F15" s="11" t="s">
        <v>107</v>
      </c>
      <c r="G15" s="9" t="s">
        <v>61</v>
      </c>
      <c r="H15" s="9" t="s">
        <v>118</v>
      </c>
      <c r="I15" s="9" t="s">
        <v>109</v>
      </c>
      <c r="J15" s="9" t="s">
        <v>110</v>
      </c>
      <c r="K15" s="9" t="s">
        <v>111</v>
      </c>
      <c r="L15" s="9" t="s">
        <v>98</v>
      </c>
      <c r="M15" s="9" t="s">
        <v>28</v>
      </c>
      <c r="N15" s="12" t="s">
        <v>112</v>
      </c>
      <c r="O15" s="9"/>
    </row>
    <row r="16" customFormat="false" ht="46.25" hidden="false" customHeight="false" outlineLevel="0" collapsed="false">
      <c r="A16" s="9" t="n">
        <v>12</v>
      </c>
      <c r="B16" s="9" t="s">
        <v>57</v>
      </c>
      <c r="C16" s="9" t="s">
        <v>119</v>
      </c>
      <c r="D16" s="10" t="n">
        <v>72</v>
      </c>
      <c r="E16" s="9" t="s">
        <v>83</v>
      </c>
      <c r="F16" s="11" t="s">
        <v>120</v>
      </c>
      <c r="G16" s="9" t="s">
        <v>61</v>
      </c>
      <c r="H16" s="9" t="s">
        <v>121</v>
      </c>
      <c r="I16" s="9" t="s">
        <v>122</v>
      </c>
      <c r="J16" s="9" t="s">
        <v>123</v>
      </c>
      <c r="K16" s="9" t="s">
        <v>124</v>
      </c>
      <c r="L16" s="9" t="s">
        <v>66</v>
      </c>
      <c r="M16" s="9" t="s">
        <v>28</v>
      </c>
      <c r="N16" s="12" t="s">
        <v>125</v>
      </c>
      <c r="O16" s="9" t="s">
        <v>126</v>
      </c>
    </row>
    <row r="17" customFormat="false" ht="46.25" hidden="false" customHeight="false" outlineLevel="0" collapsed="false">
      <c r="A17" s="9" t="n">
        <v>13</v>
      </c>
      <c r="B17" s="9" t="s">
        <v>57</v>
      </c>
      <c r="C17" s="9" t="s">
        <v>127</v>
      </c>
      <c r="D17" s="10" t="n">
        <v>15</v>
      </c>
      <c r="E17" s="9" t="s">
        <v>83</v>
      </c>
      <c r="F17" s="11" t="s">
        <v>120</v>
      </c>
      <c r="G17" s="9" t="s">
        <v>61</v>
      </c>
      <c r="H17" s="9" t="s">
        <v>128</v>
      </c>
      <c r="I17" s="9" t="s">
        <v>122</v>
      </c>
      <c r="J17" s="9" t="s">
        <v>123</v>
      </c>
      <c r="K17" s="9" t="s">
        <v>124</v>
      </c>
      <c r="L17" s="9" t="s">
        <v>66</v>
      </c>
      <c r="M17" s="9" t="s">
        <v>28</v>
      </c>
      <c r="N17" s="12" t="s">
        <v>125</v>
      </c>
      <c r="O17" s="9"/>
    </row>
    <row r="18" customFormat="false" ht="23.85" hidden="false" customHeight="false" outlineLevel="0" collapsed="false">
      <c r="A18" s="9" t="n">
        <v>14</v>
      </c>
      <c r="B18" s="9" t="s">
        <v>57</v>
      </c>
      <c r="C18" s="9" t="s">
        <v>129</v>
      </c>
      <c r="D18" s="10" t="n">
        <v>70</v>
      </c>
      <c r="E18" s="9" t="s">
        <v>130</v>
      </c>
      <c r="F18" s="11" t="s">
        <v>131</v>
      </c>
      <c r="G18" s="9" t="s">
        <v>61</v>
      </c>
      <c r="H18" s="9" t="s">
        <v>132</v>
      </c>
      <c r="I18" s="9" t="s">
        <v>133</v>
      </c>
      <c r="J18" s="9" t="s">
        <v>134</v>
      </c>
      <c r="K18" s="9" t="s">
        <v>135</v>
      </c>
      <c r="L18" s="9" t="s">
        <v>136</v>
      </c>
      <c r="M18" s="9" t="s">
        <v>28</v>
      </c>
      <c r="N18" s="12" t="s">
        <v>137</v>
      </c>
      <c r="O18" s="9" t="s">
        <v>138</v>
      </c>
    </row>
    <row r="19" customFormat="false" ht="23.85" hidden="false" customHeight="false" outlineLevel="0" collapsed="false">
      <c r="A19" s="9" t="n">
        <v>15</v>
      </c>
      <c r="B19" s="9" t="s">
        <v>57</v>
      </c>
      <c r="C19" s="9" t="s">
        <v>139</v>
      </c>
      <c r="D19" s="10" t="n">
        <v>75</v>
      </c>
      <c r="E19" s="9" t="s">
        <v>83</v>
      </c>
      <c r="F19" s="11" t="s">
        <v>140</v>
      </c>
      <c r="G19" s="9" t="s">
        <v>61</v>
      </c>
      <c r="H19" s="9" t="s">
        <v>141</v>
      </c>
      <c r="I19" s="9" t="s">
        <v>142</v>
      </c>
      <c r="J19" s="9" t="s">
        <v>143</v>
      </c>
      <c r="K19" s="9" t="s">
        <v>144</v>
      </c>
      <c r="L19" s="9" t="s">
        <v>66</v>
      </c>
      <c r="M19" s="9" t="s">
        <v>32</v>
      </c>
      <c r="N19" s="12" t="s">
        <v>145</v>
      </c>
      <c r="O19" s="9" t="s">
        <v>146</v>
      </c>
    </row>
    <row r="20" customFormat="false" ht="35.05" hidden="false" customHeight="false" outlineLevel="0" collapsed="false">
      <c r="A20" s="9" t="n">
        <v>16</v>
      </c>
      <c r="B20" s="9" t="s">
        <v>57</v>
      </c>
      <c r="C20" s="9" t="s">
        <v>147</v>
      </c>
      <c r="D20" s="10" t="n">
        <v>67</v>
      </c>
      <c r="E20" s="9" t="s">
        <v>83</v>
      </c>
      <c r="F20" s="11" t="s">
        <v>148</v>
      </c>
      <c r="G20" s="9" t="s">
        <v>61</v>
      </c>
      <c r="H20" s="9" t="s">
        <v>149</v>
      </c>
      <c r="I20" s="9" t="s">
        <v>150</v>
      </c>
      <c r="J20" s="9" t="s">
        <v>151</v>
      </c>
      <c r="K20" s="9" t="s">
        <v>148</v>
      </c>
      <c r="L20" s="9" t="s">
        <v>136</v>
      </c>
      <c r="M20" s="9" t="s">
        <v>36</v>
      </c>
      <c r="N20" s="9"/>
      <c r="O20" s="9" t="s">
        <v>152</v>
      </c>
    </row>
    <row r="21" customFormat="false" ht="35.05" hidden="false" customHeight="false" outlineLevel="0" collapsed="false">
      <c r="A21" s="9" t="n">
        <v>17</v>
      </c>
      <c r="B21" s="9" t="s">
        <v>57</v>
      </c>
      <c r="C21" s="9" t="s">
        <v>153</v>
      </c>
      <c r="D21" s="10" t="n">
        <v>11</v>
      </c>
      <c r="E21" s="9" t="s">
        <v>83</v>
      </c>
      <c r="F21" s="11" t="s">
        <v>148</v>
      </c>
      <c r="G21" s="9" t="s">
        <v>61</v>
      </c>
      <c r="H21" s="9" t="s">
        <v>154</v>
      </c>
      <c r="I21" s="9" t="s">
        <v>150</v>
      </c>
      <c r="J21" s="9" t="s">
        <v>151</v>
      </c>
      <c r="K21" s="9" t="s">
        <v>148</v>
      </c>
      <c r="L21" s="9" t="s">
        <v>136</v>
      </c>
      <c r="M21" s="9" t="s">
        <v>36</v>
      </c>
      <c r="N21" s="9"/>
      <c r="O21" s="9"/>
    </row>
    <row r="22" customFormat="false" ht="35.05" hidden="false" customHeight="false" outlineLevel="0" collapsed="false">
      <c r="A22" s="9" t="n">
        <v>18</v>
      </c>
      <c r="B22" s="9" t="s">
        <v>57</v>
      </c>
      <c r="C22" s="9" t="s">
        <v>155</v>
      </c>
      <c r="D22" s="10" t="n">
        <v>11</v>
      </c>
      <c r="E22" s="9" t="s">
        <v>83</v>
      </c>
      <c r="F22" s="11" t="s">
        <v>148</v>
      </c>
      <c r="G22" s="9" t="s">
        <v>61</v>
      </c>
      <c r="H22" s="9" t="s">
        <v>156</v>
      </c>
      <c r="I22" s="9" t="s">
        <v>150</v>
      </c>
      <c r="J22" s="9" t="s">
        <v>151</v>
      </c>
      <c r="K22" s="9" t="s">
        <v>148</v>
      </c>
      <c r="L22" s="9" t="s">
        <v>136</v>
      </c>
      <c r="M22" s="9" t="s">
        <v>36</v>
      </c>
      <c r="N22" s="9"/>
      <c r="O22" s="9"/>
    </row>
    <row r="23" customFormat="false" ht="46.25" hidden="false" customHeight="false" outlineLevel="0" collapsed="false">
      <c r="A23" s="9" t="n">
        <v>19</v>
      </c>
      <c r="B23" s="9" t="s">
        <v>57</v>
      </c>
      <c r="C23" s="9" t="s">
        <v>157</v>
      </c>
      <c r="D23" s="13" t="s">
        <v>158</v>
      </c>
      <c r="E23" s="9" t="s">
        <v>159</v>
      </c>
      <c r="F23" s="11" t="s">
        <v>160</v>
      </c>
      <c r="G23" s="9" t="s">
        <v>61</v>
      </c>
      <c r="H23" s="9" t="s">
        <v>161</v>
      </c>
      <c r="I23" s="9" t="s">
        <v>162</v>
      </c>
      <c r="J23" s="9" t="s">
        <v>163</v>
      </c>
      <c r="K23" s="9" t="s">
        <v>107</v>
      </c>
      <c r="L23" s="9" t="s">
        <v>164</v>
      </c>
      <c r="M23" s="9" t="s">
        <v>34</v>
      </c>
      <c r="N23" s="12" t="s">
        <v>165</v>
      </c>
      <c r="O23" s="9" t="s">
        <v>166</v>
      </c>
    </row>
    <row r="24" customFormat="false" ht="23.85" hidden="false" customHeight="false" outlineLevel="0" collapsed="false">
      <c r="A24" s="9" t="n">
        <v>20</v>
      </c>
      <c r="B24" s="9" t="s">
        <v>57</v>
      </c>
      <c r="C24" s="9" t="s">
        <v>167</v>
      </c>
      <c r="D24" s="14" t="n">
        <v>3.2</v>
      </c>
      <c r="E24" s="9" t="s">
        <v>168</v>
      </c>
      <c r="F24" s="11" t="s">
        <v>84</v>
      </c>
      <c r="G24" s="9" t="s">
        <v>61</v>
      </c>
      <c r="H24" s="9" t="s">
        <v>169</v>
      </c>
      <c r="I24" s="9" t="s">
        <v>170</v>
      </c>
      <c r="J24" s="9" t="s">
        <v>171</v>
      </c>
      <c r="K24" s="9" t="s">
        <v>84</v>
      </c>
      <c r="L24" s="9" t="s">
        <v>172</v>
      </c>
      <c r="M24" s="9" t="s">
        <v>34</v>
      </c>
      <c r="N24" s="12" t="s">
        <v>173</v>
      </c>
      <c r="O24" s="9" t="s">
        <v>174</v>
      </c>
    </row>
    <row r="25" customFormat="false" ht="35.05" hidden="false" customHeight="false" outlineLevel="0" collapsed="false">
      <c r="A25" s="9" t="n">
        <v>21</v>
      </c>
      <c r="B25" s="9" t="s">
        <v>175</v>
      </c>
      <c r="C25" s="9" t="s">
        <v>176</v>
      </c>
      <c r="D25" s="14" t="n">
        <v>2.3</v>
      </c>
      <c r="E25" s="9" t="s">
        <v>177</v>
      </c>
      <c r="F25" s="11" t="s">
        <v>178</v>
      </c>
      <c r="G25" s="9" t="s">
        <v>93</v>
      </c>
      <c r="H25" s="9" t="s">
        <v>179</v>
      </c>
      <c r="I25" s="9" t="s">
        <v>95</v>
      </c>
      <c r="J25" s="9" t="s">
        <v>96</v>
      </c>
      <c r="K25" s="9" t="s">
        <v>97</v>
      </c>
      <c r="L25" s="9" t="s">
        <v>98</v>
      </c>
      <c r="M25" s="9" t="s">
        <v>28</v>
      </c>
      <c r="N25" s="12" t="s">
        <v>99</v>
      </c>
      <c r="O25" s="9"/>
    </row>
    <row r="26" customFormat="false" ht="35.05" hidden="false" customHeight="false" outlineLevel="0" collapsed="false">
      <c r="A26" s="9" t="n">
        <v>22</v>
      </c>
      <c r="B26" s="9" t="s">
        <v>175</v>
      </c>
      <c r="C26" s="9" t="s">
        <v>180</v>
      </c>
      <c r="D26" s="14" t="n">
        <v>0.2</v>
      </c>
      <c r="E26" s="9" t="s">
        <v>177</v>
      </c>
      <c r="F26" s="11" t="s">
        <v>178</v>
      </c>
      <c r="G26" s="9" t="s">
        <v>93</v>
      </c>
      <c r="H26" s="9" t="s">
        <v>181</v>
      </c>
      <c r="I26" s="9" t="s">
        <v>95</v>
      </c>
      <c r="J26" s="9" t="s">
        <v>96</v>
      </c>
      <c r="K26" s="9" t="s">
        <v>97</v>
      </c>
      <c r="L26" s="9" t="s">
        <v>98</v>
      </c>
      <c r="M26" s="9" t="s">
        <v>28</v>
      </c>
      <c r="N26" s="12" t="s">
        <v>99</v>
      </c>
      <c r="O26" s="9" t="s">
        <v>182</v>
      </c>
    </row>
    <row r="27" customFormat="false" ht="35.05" hidden="false" customHeight="false" outlineLevel="0" collapsed="false">
      <c r="A27" s="9" t="n">
        <v>23</v>
      </c>
      <c r="B27" s="9" t="s">
        <v>175</v>
      </c>
      <c r="C27" s="9" t="s">
        <v>183</v>
      </c>
      <c r="D27" s="14" t="n">
        <v>-1.2</v>
      </c>
      <c r="E27" s="9" t="s">
        <v>177</v>
      </c>
      <c r="F27" s="11" t="s">
        <v>178</v>
      </c>
      <c r="G27" s="9" t="s">
        <v>93</v>
      </c>
      <c r="H27" s="9" t="s">
        <v>184</v>
      </c>
      <c r="I27" s="9" t="s">
        <v>95</v>
      </c>
      <c r="J27" s="9" t="s">
        <v>96</v>
      </c>
      <c r="K27" s="9" t="s">
        <v>97</v>
      </c>
      <c r="L27" s="9" t="s">
        <v>98</v>
      </c>
      <c r="M27" s="9" t="s">
        <v>28</v>
      </c>
      <c r="N27" s="12" t="s">
        <v>99</v>
      </c>
      <c r="O27" s="9"/>
    </row>
    <row r="28" customFormat="false" ht="35.05" hidden="false" customHeight="false" outlineLevel="0" collapsed="false">
      <c r="A28" s="9" t="n">
        <v>24</v>
      </c>
      <c r="B28" s="9" t="s">
        <v>175</v>
      </c>
      <c r="C28" s="9" t="s">
        <v>185</v>
      </c>
      <c r="D28" s="10" t="n">
        <v>38</v>
      </c>
      <c r="E28" s="9" t="s">
        <v>83</v>
      </c>
      <c r="F28" s="11" t="s">
        <v>178</v>
      </c>
      <c r="G28" s="9" t="s">
        <v>93</v>
      </c>
      <c r="H28" s="9" t="s">
        <v>186</v>
      </c>
      <c r="I28" s="9" t="s">
        <v>95</v>
      </c>
      <c r="J28" s="9" t="s">
        <v>96</v>
      </c>
      <c r="K28" s="9" t="s">
        <v>97</v>
      </c>
      <c r="L28" s="9" t="s">
        <v>98</v>
      </c>
      <c r="M28" s="9" t="s">
        <v>28</v>
      </c>
      <c r="N28" s="12" t="s">
        <v>99</v>
      </c>
      <c r="O28" s="9"/>
    </row>
    <row r="29" customFormat="false" ht="35.05" hidden="false" customHeight="false" outlineLevel="0" collapsed="false">
      <c r="A29" s="9" t="n">
        <v>25</v>
      </c>
      <c r="B29" s="9" t="s">
        <v>175</v>
      </c>
      <c r="C29" s="9" t="s">
        <v>187</v>
      </c>
      <c r="D29" s="10" t="n">
        <v>23</v>
      </c>
      <c r="E29" s="9" t="s">
        <v>83</v>
      </c>
      <c r="F29" s="11" t="s">
        <v>178</v>
      </c>
      <c r="G29" s="9" t="s">
        <v>93</v>
      </c>
      <c r="H29" s="9"/>
      <c r="I29" s="9" t="s">
        <v>95</v>
      </c>
      <c r="J29" s="9" t="s">
        <v>96</v>
      </c>
      <c r="K29" s="9" t="s">
        <v>97</v>
      </c>
      <c r="L29" s="9" t="s">
        <v>98</v>
      </c>
      <c r="M29" s="9" t="s">
        <v>28</v>
      </c>
      <c r="N29" s="12" t="s">
        <v>99</v>
      </c>
      <c r="O29" s="9"/>
    </row>
    <row r="30" customFormat="false" ht="35.05" hidden="false" customHeight="false" outlineLevel="0" collapsed="false">
      <c r="A30" s="9" t="n">
        <v>26</v>
      </c>
      <c r="B30" s="9" t="s">
        <v>175</v>
      </c>
      <c r="C30" s="9" t="s">
        <v>188</v>
      </c>
      <c r="D30" s="10" t="n">
        <v>46</v>
      </c>
      <c r="E30" s="9" t="s">
        <v>83</v>
      </c>
      <c r="F30" s="11" t="s">
        <v>178</v>
      </c>
      <c r="G30" s="9" t="s">
        <v>93</v>
      </c>
      <c r="H30" s="9" t="s">
        <v>189</v>
      </c>
      <c r="I30" s="9" t="s">
        <v>95</v>
      </c>
      <c r="J30" s="9" t="s">
        <v>96</v>
      </c>
      <c r="K30" s="9" t="s">
        <v>97</v>
      </c>
      <c r="L30" s="9" t="s">
        <v>98</v>
      </c>
      <c r="M30" s="9" t="s">
        <v>28</v>
      </c>
      <c r="N30" s="12" t="s">
        <v>99</v>
      </c>
      <c r="O30" s="9" t="s">
        <v>190</v>
      </c>
    </row>
    <row r="31" customFormat="false" ht="35.05" hidden="false" customHeight="false" outlineLevel="0" collapsed="false">
      <c r="A31" s="9" t="n">
        <v>27</v>
      </c>
      <c r="B31" s="9" t="s">
        <v>175</v>
      </c>
      <c r="C31" s="9" t="s">
        <v>191</v>
      </c>
      <c r="D31" s="10" t="n">
        <v>57</v>
      </c>
      <c r="E31" s="9" t="s">
        <v>83</v>
      </c>
      <c r="F31" s="11" t="s">
        <v>178</v>
      </c>
      <c r="G31" s="9" t="s">
        <v>93</v>
      </c>
      <c r="H31" s="9" t="s">
        <v>192</v>
      </c>
      <c r="I31" s="9" t="s">
        <v>95</v>
      </c>
      <c r="J31" s="9" t="s">
        <v>96</v>
      </c>
      <c r="K31" s="9" t="s">
        <v>97</v>
      </c>
      <c r="L31" s="9" t="s">
        <v>98</v>
      </c>
      <c r="M31" s="9" t="s">
        <v>28</v>
      </c>
      <c r="N31" s="12" t="s">
        <v>99</v>
      </c>
      <c r="O31" s="9" t="s">
        <v>193</v>
      </c>
    </row>
    <row r="32" customFormat="false" ht="35.05" hidden="false" customHeight="false" outlineLevel="0" collapsed="false">
      <c r="A32" s="9" t="n">
        <v>28</v>
      </c>
      <c r="B32" s="9" t="s">
        <v>175</v>
      </c>
      <c r="C32" s="9" t="s">
        <v>194</v>
      </c>
      <c r="D32" s="10" t="n">
        <v>82</v>
      </c>
      <c r="E32" s="9" t="s">
        <v>83</v>
      </c>
      <c r="F32" s="11" t="s">
        <v>178</v>
      </c>
      <c r="G32" s="9" t="s">
        <v>195</v>
      </c>
      <c r="H32" s="9" t="s">
        <v>196</v>
      </c>
      <c r="I32" s="9" t="s">
        <v>197</v>
      </c>
      <c r="J32" s="9" t="s">
        <v>198</v>
      </c>
      <c r="K32" s="9" t="s">
        <v>199</v>
      </c>
      <c r="L32" s="9" t="s">
        <v>98</v>
      </c>
      <c r="M32" s="9" t="s">
        <v>28</v>
      </c>
      <c r="N32" s="12" t="s">
        <v>200</v>
      </c>
      <c r="O32" s="9" t="s">
        <v>201</v>
      </c>
    </row>
    <row r="33" customFormat="false" ht="35.05" hidden="false" customHeight="false" outlineLevel="0" collapsed="false">
      <c r="A33" s="9" t="n">
        <v>29</v>
      </c>
      <c r="B33" s="9" t="s">
        <v>175</v>
      </c>
      <c r="C33" s="9" t="s">
        <v>202</v>
      </c>
      <c r="D33" s="10" t="n">
        <v>600</v>
      </c>
      <c r="E33" s="9" t="s">
        <v>203</v>
      </c>
      <c r="F33" s="11" t="s">
        <v>178</v>
      </c>
      <c r="G33" s="9" t="s">
        <v>204</v>
      </c>
      <c r="H33" s="9" t="s">
        <v>205</v>
      </c>
      <c r="I33" s="9" t="s">
        <v>197</v>
      </c>
      <c r="J33" s="9" t="s">
        <v>198</v>
      </c>
      <c r="K33" s="9" t="s">
        <v>199</v>
      </c>
      <c r="L33" s="9" t="s">
        <v>98</v>
      </c>
      <c r="M33" s="9" t="s">
        <v>28</v>
      </c>
      <c r="N33" s="12" t="s">
        <v>200</v>
      </c>
      <c r="O33" s="9" t="s">
        <v>206</v>
      </c>
    </row>
    <row r="34" customFormat="false" ht="35.05" hidden="false" customHeight="false" outlineLevel="0" collapsed="false">
      <c r="A34" s="9" t="n">
        <v>30</v>
      </c>
      <c r="B34" s="9" t="s">
        <v>175</v>
      </c>
      <c r="C34" s="9" t="s">
        <v>207</v>
      </c>
      <c r="D34" s="10" t="n">
        <v>3500</v>
      </c>
      <c r="E34" s="9" t="s">
        <v>208</v>
      </c>
      <c r="F34" s="11" t="s">
        <v>178</v>
      </c>
      <c r="G34" s="9" t="s">
        <v>204</v>
      </c>
      <c r="H34" s="9" t="s">
        <v>205</v>
      </c>
      <c r="I34" s="9" t="s">
        <v>197</v>
      </c>
      <c r="J34" s="9" t="s">
        <v>198</v>
      </c>
      <c r="K34" s="9" t="s">
        <v>199</v>
      </c>
      <c r="L34" s="9" t="s">
        <v>98</v>
      </c>
      <c r="M34" s="9" t="s">
        <v>28</v>
      </c>
      <c r="N34" s="12" t="s">
        <v>200</v>
      </c>
      <c r="O34" s="9" t="s">
        <v>209</v>
      </c>
    </row>
    <row r="35" customFormat="false" ht="35.05" hidden="false" customHeight="false" outlineLevel="0" collapsed="false">
      <c r="A35" s="9" t="n">
        <v>31</v>
      </c>
      <c r="B35" s="9" t="s">
        <v>175</v>
      </c>
      <c r="C35" s="9" t="s">
        <v>210</v>
      </c>
      <c r="D35" s="10" t="n">
        <v>37</v>
      </c>
      <c r="E35" s="9" t="s">
        <v>83</v>
      </c>
      <c r="F35" s="11" t="s">
        <v>178</v>
      </c>
      <c r="G35" s="9" t="s">
        <v>204</v>
      </c>
      <c r="H35" s="9"/>
      <c r="I35" s="9" t="s">
        <v>197</v>
      </c>
      <c r="J35" s="9" t="s">
        <v>198</v>
      </c>
      <c r="K35" s="9" t="s">
        <v>199</v>
      </c>
      <c r="L35" s="9" t="s">
        <v>98</v>
      </c>
      <c r="M35" s="9" t="s">
        <v>28</v>
      </c>
      <c r="N35" s="12" t="s">
        <v>200</v>
      </c>
      <c r="O35" s="9"/>
    </row>
    <row r="36" customFormat="false" ht="46.25" hidden="false" customHeight="false" outlineLevel="0" collapsed="false">
      <c r="A36" s="9" t="n">
        <v>32</v>
      </c>
      <c r="B36" s="9" t="s">
        <v>175</v>
      </c>
      <c r="C36" s="9" t="s">
        <v>211</v>
      </c>
      <c r="D36" s="14" t="n">
        <v>1.1</v>
      </c>
      <c r="E36" s="9" t="s">
        <v>177</v>
      </c>
      <c r="F36" s="11" t="s">
        <v>212</v>
      </c>
      <c r="G36" s="9" t="s">
        <v>61</v>
      </c>
      <c r="H36" s="9" t="s">
        <v>213</v>
      </c>
      <c r="I36" s="9" t="s">
        <v>109</v>
      </c>
      <c r="J36" s="9" t="s">
        <v>110</v>
      </c>
      <c r="K36" s="9" t="s">
        <v>111</v>
      </c>
      <c r="L36" s="9" t="s">
        <v>98</v>
      </c>
      <c r="M36" s="9" t="s">
        <v>28</v>
      </c>
      <c r="N36" s="12" t="s">
        <v>112</v>
      </c>
      <c r="O36" s="9" t="s">
        <v>214</v>
      </c>
    </row>
    <row r="37" customFormat="false" ht="46.25" hidden="false" customHeight="false" outlineLevel="0" collapsed="false">
      <c r="A37" s="9" t="n">
        <v>33</v>
      </c>
      <c r="B37" s="9" t="s">
        <v>175</v>
      </c>
      <c r="C37" s="9" t="s">
        <v>215</v>
      </c>
      <c r="D37" s="14" t="n">
        <v>1.6</v>
      </c>
      <c r="E37" s="9" t="s">
        <v>177</v>
      </c>
      <c r="F37" s="11" t="s">
        <v>212</v>
      </c>
      <c r="G37" s="9" t="s">
        <v>61</v>
      </c>
      <c r="H37" s="9" t="s">
        <v>216</v>
      </c>
      <c r="I37" s="9" t="s">
        <v>109</v>
      </c>
      <c r="J37" s="9" t="s">
        <v>110</v>
      </c>
      <c r="K37" s="9" t="s">
        <v>111</v>
      </c>
      <c r="L37" s="9" t="s">
        <v>98</v>
      </c>
      <c r="M37" s="9" t="s">
        <v>28</v>
      </c>
      <c r="N37" s="12" t="s">
        <v>112</v>
      </c>
      <c r="O37" s="9"/>
    </row>
    <row r="38" customFormat="false" ht="46.25" hidden="false" customHeight="false" outlineLevel="0" collapsed="false">
      <c r="A38" s="9" t="n">
        <v>34</v>
      </c>
      <c r="B38" s="9" t="s">
        <v>175</v>
      </c>
      <c r="C38" s="9" t="s">
        <v>217</v>
      </c>
      <c r="D38" s="14" t="n">
        <v>1.9</v>
      </c>
      <c r="E38" s="9" t="s">
        <v>177</v>
      </c>
      <c r="F38" s="11" t="s">
        <v>212</v>
      </c>
      <c r="G38" s="9" t="s">
        <v>61</v>
      </c>
      <c r="H38" s="9" t="s">
        <v>156</v>
      </c>
      <c r="I38" s="9" t="s">
        <v>109</v>
      </c>
      <c r="J38" s="9" t="s">
        <v>110</v>
      </c>
      <c r="K38" s="9" t="s">
        <v>111</v>
      </c>
      <c r="L38" s="9" t="s">
        <v>98</v>
      </c>
      <c r="M38" s="9" t="s">
        <v>28</v>
      </c>
      <c r="N38" s="12" t="s">
        <v>112</v>
      </c>
      <c r="O38" s="9"/>
    </row>
    <row r="39" customFormat="false" ht="46.25" hidden="false" customHeight="false" outlineLevel="0" collapsed="false">
      <c r="A39" s="9" t="n">
        <v>35</v>
      </c>
      <c r="B39" s="9" t="s">
        <v>175</v>
      </c>
      <c r="C39" s="9" t="s">
        <v>218</v>
      </c>
      <c r="D39" s="10" t="n">
        <v>40</v>
      </c>
      <c r="E39" s="9" t="s">
        <v>83</v>
      </c>
      <c r="F39" s="11" t="s">
        <v>212</v>
      </c>
      <c r="G39" s="9" t="s">
        <v>61</v>
      </c>
      <c r="H39" s="9" t="s">
        <v>219</v>
      </c>
      <c r="I39" s="9" t="s">
        <v>109</v>
      </c>
      <c r="J39" s="9" t="s">
        <v>110</v>
      </c>
      <c r="K39" s="9" t="s">
        <v>111</v>
      </c>
      <c r="L39" s="9" t="s">
        <v>98</v>
      </c>
      <c r="M39" s="9" t="s">
        <v>28</v>
      </c>
      <c r="N39" s="12" t="s">
        <v>112</v>
      </c>
      <c r="O39" s="9"/>
    </row>
    <row r="40" customFormat="false" ht="46.25" hidden="false" customHeight="false" outlineLevel="0" collapsed="false">
      <c r="A40" s="9" t="n">
        <v>36</v>
      </c>
      <c r="B40" s="9" t="s">
        <v>175</v>
      </c>
      <c r="C40" s="9" t="s">
        <v>220</v>
      </c>
      <c r="D40" s="14" t="n">
        <v>-2.2</v>
      </c>
      <c r="E40" s="9" t="s">
        <v>177</v>
      </c>
      <c r="F40" s="11" t="s">
        <v>212</v>
      </c>
      <c r="G40" s="9" t="s">
        <v>61</v>
      </c>
      <c r="H40" s="9" t="s">
        <v>221</v>
      </c>
      <c r="I40" s="9" t="s">
        <v>109</v>
      </c>
      <c r="J40" s="9" t="s">
        <v>110</v>
      </c>
      <c r="K40" s="9" t="s">
        <v>111</v>
      </c>
      <c r="L40" s="9" t="s">
        <v>98</v>
      </c>
      <c r="M40" s="9" t="s">
        <v>28</v>
      </c>
      <c r="N40" s="12" t="s">
        <v>112</v>
      </c>
      <c r="O40" s="9" t="s">
        <v>222</v>
      </c>
    </row>
    <row r="41" customFormat="false" ht="46.25" hidden="false" customHeight="false" outlineLevel="0" collapsed="false">
      <c r="A41" s="9" t="n">
        <v>37</v>
      </c>
      <c r="B41" s="9" t="s">
        <v>175</v>
      </c>
      <c r="C41" s="9" t="s">
        <v>223</v>
      </c>
      <c r="D41" s="10" t="n">
        <v>700000</v>
      </c>
      <c r="E41" s="9" t="s">
        <v>224</v>
      </c>
      <c r="F41" s="11" t="s">
        <v>225</v>
      </c>
      <c r="G41" s="9" t="s">
        <v>61</v>
      </c>
      <c r="H41" s="9" t="s">
        <v>226</v>
      </c>
      <c r="I41" s="9" t="s">
        <v>227</v>
      </c>
      <c r="J41" s="9" t="s">
        <v>228</v>
      </c>
      <c r="K41" s="9" t="s">
        <v>229</v>
      </c>
      <c r="L41" s="9" t="s">
        <v>164</v>
      </c>
      <c r="M41" s="9" t="s">
        <v>28</v>
      </c>
      <c r="N41" s="12" t="s">
        <v>230</v>
      </c>
      <c r="O41" s="9" t="s">
        <v>231</v>
      </c>
    </row>
    <row r="42" customFormat="false" ht="35.05" hidden="false" customHeight="false" outlineLevel="0" collapsed="false">
      <c r="A42" s="9" t="n">
        <v>38</v>
      </c>
      <c r="B42" s="9" t="s">
        <v>175</v>
      </c>
      <c r="C42" s="9" t="s">
        <v>232</v>
      </c>
      <c r="D42" s="10" t="n">
        <v>430000</v>
      </c>
      <c r="E42" s="9" t="s">
        <v>233</v>
      </c>
      <c r="F42" s="11" t="s">
        <v>234</v>
      </c>
      <c r="G42" s="9" t="s">
        <v>61</v>
      </c>
      <c r="H42" s="9" t="s">
        <v>235</v>
      </c>
      <c r="I42" s="9" t="s">
        <v>236</v>
      </c>
      <c r="J42" s="9" t="s">
        <v>237</v>
      </c>
      <c r="K42" s="9" t="s">
        <v>238</v>
      </c>
      <c r="L42" s="9" t="s">
        <v>239</v>
      </c>
      <c r="M42" s="9" t="s">
        <v>28</v>
      </c>
      <c r="N42" s="12" t="s">
        <v>240</v>
      </c>
      <c r="O42" s="9"/>
    </row>
    <row r="43" customFormat="false" ht="35.05" hidden="false" customHeight="false" outlineLevel="0" collapsed="false">
      <c r="A43" s="9" t="n">
        <v>39</v>
      </c>
      <c r="B43" s="9" t="s">
        <v>241</v>
      </c>
      <c r="C43" s="9" t="s">
        <v>242</v>
      </c>
      <c r="D43" s="10" t="n">
        <v>6</v>
      </c>
      <c r="E43" s="9" t="s">
        <v>83</v>
      </c>
      <c r="F43" s="11" t="s">
        <v>243</v>
      </c>
      <c r="G43" s="9" t="s">
        <v>244</v>
      </c>
      <c r="H43" s="9" t="s">
        <v>245</v>
      </c>
      <c r="I43" s="9" t="s">
        <v>246</v>
      </c>
      <c r="J43" s="9" t="s">
        <v>247</v>
      </c>
      <c r="K43" s="9" t="s">
        <v>107</v>
      </c>
      <c r="L43" s="9" t="s">
        <v>172</v>
      </c>
      <c r="M43" s="9" t="s">
        <v>34</v>
      </c>
      <c r="N43" s="12" t="s">
        <v>248</v>
      </c>
      <c r="O43" s="9" t="s">
        <v>249</v>
      </c>
    </row>
    <row r="44" customFormat="false" ht="35.05" hidden="false" customHeight="false" outlineLevel="0" collapsed="false">
      <c r="A44" s="9" t="n">
        <v>40</v>
      </c>
      <c r="B44" s="9" t="s">
        <v>241</v>
      </c>
      <c r="C44" s="9" t="s">
        <v>242</v>
      </c>
      <c r="D44" s="10" t="n">
        <v>10</v>
      </c>
      <c r="E44" s="9" t="s">
        <v>130</v>
      </c>
      <c r="F44" s="11" t="s">
        <v>92</v>
      </c>
      <c r="G44" s="9" t="s">
        <v>244</v>
      </c>
      <c r="H44" s="9" t="s">
        <v>250</v>
      </c>
      <c r="I44" s="9" t="s">
        <v>246</v>
      </c>
      <c r="J44" s="9" t="s">
        <v>247</v>
      </c>
      <c r="K44" s="9" t="s">
        <v>107</v>
      </c>
      <c r="L44" s="9" t="s">
        <v>172</v>
      </c>
      <c r="M44" s="9" t="s">
        <v>34</v>
      </c>
      <c r="N44" s="12" t="s">
        <v>248</v>
      </c>
      <c r="O44" s="9" t="s">
        <v>249</v>
      </c>
    </row>
    <row r="45" customFormat="false" ht="35.05" hidden="false" customHeight="false" outlineLevel="0" collapsed="false">
      <c r="A45" s="9" t="n">
        <v>41</v>
      </c>
      <c r="B45" s="9" t="s">
        <v>241</v>
      </c>
      <c r="C45" s="9" t="s">
        <v>251</v>
      </c>
      <c r="D45" s="10" t="n">
        <v>87</v>
      </c>
      <c r="E45" s="9" t="s">
        <v>83</v>
      </c>
      <c r="F45" s="11" t="s">
        <v>252</v>
      </c>
      <c r="G45" s="9" t="s">
        <v>253</v>
      </c>
      <c r="H45" s="9" t="s">
        <v>254</v>
      </c>
      <c r="I45" s="9" t="s">
        <v>255</v>
      </c>
      <c r="J45" s="9" t="s">
        <v>256</v>
      </c>
      <c r="K45" s="9" t="s">
        <v>257</v>
      </c>
      <c r="L45" s="9" t="s">
        <v>164</v>
      </c>
      <c r="M45" s="9" t="s">
        <v>34</v>
      </c>
      <c r="N45" s="12" t="s">
        <v>145</v>
      </c>
      <c r="O45" s="9" t="s">
        <v>258</v>
      </c>
    </row>
    <row r="46" customFormat="false" ht="35.05" hidden="false" customHeight="false" outlineLevel="0" collapsed="false">
      <c r="A46" s="9" t="n">
        <v>42</v>
      </c>
      <c r="B46" s="9" t="s">
        <v>241</v>
      </c>
      <c r="C46" s="9" t="s">
        <v>242</v>
      </c>
      <c r="D46" s="14" t="n">
        <v>11.3</v>
      </c>
      <c r="E46" s="9" t="s">
        <v>83</v>
      </c>
      <c r="F46" s="11" t="s">
        <v>257</v>
      </c>
      <c r="G46" s="9" t="s">
        <v>259</v>
      </c>
      <c r="H46" s="9" t="s">
        <v>260</v>
      </c>
      <c r="I46" s="9" t="s">
        <v>261</v>
      </c>
      <c r="J46" s="9" t="s">
        <v>262</v>
      </c>
      <c r="K46" s="9" t="s">
        <v>84</v>
      </c>
      <c r="L46" s="9" t="s">
        <v>172</v>
      </c>
      <c r="M46" s="9" t="s">
        <v>32</v>
      </c>
      <c r="N46" s="12" t="s">
        <v>263</v>
      </c>
      <c r="O46" s="9" t="s">
        <v>264</v>
      </c>
    </row>
    <row r="47" customFormat="false" ht="46.25" hidden="false" customHeight="false" outlineLevel="0" collapsed="false">
      <c r="A47" s="9" t="n">
        <v>43</v>
      </c>
      <c r="B47" s="9" t="s">
        <v>241</v>
      </c>
      <c r="C47" s="9" t="s">
        <v>265</v>
      </c>
      <c r="D47" s="14" t="n">
        <v>10.8</v>
      </c>
      <c r="E47" s="9" t="s">
        <v>83</v>
      </c>
      <c r="F47" s="11" t="s">
        <v>148</v>
      </c>
      <c r="G47" s="9" t="s">
        <v>266</v>
      </c>
      <c r="H47" s="9" t="s">
        <v>267</v>
      </c>
      <c r="I47" s="9" t="s">
        <v>268</v>
      </c>
      <c r="J47" s="9" t="s">
        <v>269</v>
      </c>
      <c r="K47" s="9" t="s">
        <v>270</v>
      </c>
      <c r="L47" s="9" t="s">
        <v>172</v>
      </c>
      <c r="M47" s="9" t="s">
        <v>32</v>
      </c>
      <c r="N47" s="12" t="s">
        <v>271</v>
      </c>
      <c r="O47" s="9" t="s">
        <v>272</v>
      </c>
    </row>
    <row r="48" customFormat="false" ht="46.25" hidden="false" customHeight="false" outlineLevel="0" collapsed="false">
      <c r="A48" s="9" t="n">
        <v>44</v>
      </c>
      <c r="B48" s="9" t="s">
        <v>241</v>
      </c>
      <c r="C48" s="9" t="s">
        <v>273</v>
      </c>
      <c r="D48" s="10" t="n">
        <v>37</v>
      </c>
      <c r="E48" s="9" t="s">
        <v>83</v>
      </c>
      <c r="F48" s="11" t="s">
        <v>274</v>
      </c>
      <c r="G48" s="9" t="s">
        <v>275</v>
      </c>
      <c r="H48" s="9" t="s">
        <v>276</v>
      </c>
      <c r="I48" s="9" t="s">
        <v>268</v>
      </c>
      <c r="J48" s="9" t="s">
        <v>269</v>
      </c>
      <c r="K48" s="9" t="s">
        <v>270</v>
      </c>
      <c r="L48" s="9" t="s">
        <v>172</v>
      </c>
      <c r="M48" s="9" t="s">
        <v>32</v>
      </c>
      <c r="N48" s="12" t="s">
        <v>271</v>
      </c>
      <c r="O48" s="9" t="s">
        <v>277</v>
      </c>
    </row>
    <row r="49" customFormat="false" ht="46.25" hidden="false" customHeight="false" outlineLevel="0" collapsed="false">
      <c r="A49" s="9" t="n">
        <v>45</v>
      </c>
      <c r="B49" s="9" t="s">
        <v>241</v>
      </c>
      <c r="C49" s="9" t="s">
        <v>278</v>
      </c>
      <c r="D49" s="14" t="n">
        <v>8.7</v>
      </c>
      <c r="E49" s="9" t="s">
        <v>83</v>
      </c>
      <c r="F49" s="11" t="s">
        <v>148</v>
      </c>
      <c r="G49" s="9" t="s">
        <v>279</v>
      </c>
      <c r="H49" s="9" t="s">
        <v>280</v>
      </c>
      <c r="I49" s="9" t="s">
        <v>268</v>
      </c>
      <c r="J49" s="9" t="s">
        <v>269</v>
      </c>
      <c r="K49" s="9" t="s">
        <v>270</v>
      </c>
      <c r="L49" s="9" t="s">
        <v>172</v>
      </c>
      <c r="M49" s="9" t="s">
        <v>32</v>
      </c>
      <c r="N49" s="12" t="s">
        <v>271</v>
      </c>
      <c r="O49" s="9" t="s">
        <v>277</v>
      </c>
    </row>
    <row r="50" customFormat="false" ht="46.25" hidden="false" customHeight="false" outlineLevel="0" collapsed="false">
      <c r="A50" s="9" t="n">
        <v>46</v>
      </c>
      <c r="B50" s="9" t="s">
        <v>241</v>
      </c>
      <c r="C50" s="9" t="s">
        <v>281</v>
      </c>
      <c r="D50" s="10" t="n">
        <v>1</v>
      </c>
      <c r="E50" s="9" t="s">
        <v>282</v>
      </c>
      <c r="F50" s="11" t="s">
        <v>274</v>
      </c>
      <c r="G50" s="9" t="s">
        <v>283</v>
      </c>
      <c r="H50" s="9" t="s">
        <v>284</v>
      </c>
      <c r="I50" s="9" t="s">
        <v>268</v>
      </c>
      <c r="J50" s="9" t="s">
        <v>269</v>
      </c>
      <c r="K50" s="9" t="s">
        <v>270</v>
      </c>
      <c r="L50" s="9" t="s">
        <v>172</v>
      </c>
      <c r="M50" s="9" t="s">
        <v>32</v>
      </c>
      <c r="N50" s="12" t="s">
        <v>271</v>
      </c>
      <c r="O50" s="9" t="s">
        <v>285</v>
      </c>
    </row>
    <row r="51" customFormat="false" ht="46.25" hidden="false" customHeight="false" outlineLevel="0" collapsed="false">
      <c r="A51" s="9" t="n">
        <v>47</v>
      </c>
      <c r="B51" s="9" t="s">
        <v>241</v>
      </c>
      <c r="C51" s="9" t="s">
        <v>286</v>
      </c>
      <c r="D51" s="10" t="n">
        <v>13</v>
      </c>
      <c r="E51" s="9" t="s">
        <v>83</v>
      </c>
      <c r="F51" s="11" t="s">
        <v>140</v>
      </c>
      <c r="G51" s="9" t="s">
        <v>287</v>
      </c>
      <c r="H51" s="9" t="s">
        <v>288</v>
      </c>
      <c r="I51" s="9" t="s">
        <v>162</v>
      </c>
      <c r="J51" s="9" t="s">
        <v>163</v>
      </c>
      <c r="K51" s="9" t="s">
        <v>107</v>
      </c>
      <c r="L51" s="9" t="s">
        <v>164</v>
      </c>
      <c r="M51" s="9" t="s">
        <v>28</v>
      </c>
      <c r="N51" s="12" t="s">
        <v>165</v>
      </c>
      <c r="O51" s="9" t="s">
        <v>289</v>
      </c>
    </row>
    <row r="52" customFormat="false" ht="23.85" hidden="false" customHeight="false" outlineLevel="0" collapsed="false">
      <c r="A52" s="9" t="n">
        <v>48</v>
      </c>
      <c r="B52" s="9" t="s">
        <v>241</v>
      </c>
      <c r="C52" s="9" t="s">
        <v>290</v>
      </c>
      <c r="D52" s="14" t="n">
        <v>10.64</v>
      </c>
      <c r="E52" s="9" t="s">
        <v>83</v>
      </c>
      <c r="F52" s="11" t="s">
        <v>148</v>
      </c>
      <c r="G52" s="9" t="s">
        <v>61</v>
      </c>
      <c r="H52" s="9" t="s">
        <v>291</v>
      </c>
      <c r="I52" s="9" t="s">
        <v>133</v>
      </c>
      <c r="J52" s="9" t="s">
        <v>134</v>
      </c>
      <c r="K52" s="9" t="s">
        <v>135</v>
      </c>
      <c r="L52" s="9" t="s">
        <v>136</v>
      </c>
      <c r="M52" s="9" t="s">
        <v>28</v>
      </c>
      <c r="N52" s="12" t="s">
        <v>137</v>
      </c>
      <c r="O52" s="9" t="s">
        <v>292</v>
      </c>
    </row>
    <row r="53" customFormat="false" ht="15" hidden="false" customHeight="false" outlineLevel="0" collapsed="false">
      <c r="A53" s="9" t="n">
        <v>49</v>
      </c>
      <c r="B53" s="9" t="s">
        <v>241</v>
      </c>
      <c r="C53" s="9" t="s">
        <v>293</v>
      </c>
      <c r="D53" s="14" t="n">
        <v>10.85</v>
      </c>
      <c r="E53" s="9" t="s">
        <v>83</v>
      </c>
      <c r="F53" s="11" t="s">
        <v>148</v>
      </c>
      <c r="G53" s="9" t="s">
        <v>61</v>
      </c>
      <c r="H53" s="9" t="s">
        <v>294</v>
      </c>
      <c r="I53" s="9" t="s">
        <v>133</v>
      </c>
      <c r="J53" s="9" t="s">
        <v>134</v>
      </c>
      <c r="K53" s="9" t="s">
        <v>135</v>
      </c>
      <c r="L53" s="9" t="s">
        <v>136</v>
      </c>
      <c r="M53" s="9" t="s">
        <v>28</v>
      </c>
      <c r="N53" s="12" t="s">
        <v>137</v>
      </c>
      <c r="O53" s="9" t="s">
        <v>295</v>
      </c>
    </row>
    <row r="54" customFormat="false" ht="35.05" hidden="false" customHeight="false" outlineLevel="0" collapsed="false">
      <c r="A54" s="9" t="n">
        <v>50</v>
      </c>
      <c r="B54" s="9" t="s">
        <v>241</v>
      </c>
      <c r="C54" s="9" t="s">
        <v>296</v>
      </c>
      <c r="D54" s="14" t="n">
        <v>11.7</v>
      </c>
      <c r="E54" s="9" t="s">
        <v>83</v>
      </c>
      <c r="F54" s="11" t="s">
        <v>297</v>
      </c>
      <c r="G54" s="9" t="s">
        <v>61</v>
      </c>
      <c r="H54" s="9" t="s">
        <v>298</v>
      </c>
      <c r="I54" s="9" t="s">
        <v>299</v>
      </c>
      <c r="J54" s="9" t="s">
        <v>300</v>
      </c>
      <c r="K54" s="9" t="s">
        <v>301</v>
      </c>
      <c r="L54" s="9" t="s">
        <v>136</v>
      </c>
      <c r="M54" s="9" t="s">
        <v>36</v>
      </c>
      <c r="N54" s="9"/>
      <c r="O54" s="9" t="s">
        <v>302</v>
      </c>
    </row>
    <row r="55" customFormat="false" ht="46.25" hidden="false" customHeight="false" outlineLevel="0" collapsed="false">
      <c r="A55" s="9" t="n">
        <v>51</v>
      </c>
      <c r="B55" s="9" t="s">
        <v>241</v>
      </c>
      <c r="C55" s="9" t="s">
        <v>242</v>
      </c>
      <c r="D55" s="10" t="n">
        <v>11</v>
      </c>
      <c r="E55" s="9" t="s">
        <v>83</v>
      </c>
      <c r="F55" s="11" t="s">
        <v>303</v>
      </c>
      <c r="G55" s="9" t="s">
        <v>61</v>
      </c>
      <c r="H55" s="9" t="s">
        <v>304</v>
      </c>
      <c r="I55" s="9" t="s">
        <v>122</v>
      </c>
      <c r="J55" s="9" t="s">
        <v>123</v>
      </c>
      <c r="K55" s="9" t="s">
        <v>124</v>
      </c>
      <c r="L55" s="9" t="s">
        <v>66</v>
      </c>
      <c r="M55" s="9" t="s">
        <v>28</v>
      </c>
      <c r="N55" s="12" t="s">
        <v>125</v>
      </c>
      <c r="O55" s="9"/>
    </row>
    <row r="56" customFormat="false" ht="35.05" hidden="false" customHeight="false" outlineLevel="0" collapsed="false">
      <c r="A56" s="9" t="n">
        <v>52</v>
      </c>
      <c r="B56" s="9" t="s">
        <v>241</v>
      </c>
      <c r="C56" s="9" t="s">
        <v>305</v>
      </c>
      <c r="D56" s="10" t="n">
        <v>14</v>
      </c>
      <c r="E56" s="9" t="s">
        <v>83</v>
      </c>
      <c r="F56" s="11" t="s">
        <v>148</v>
      </c>
      <c r="G56" s="9" t="s">
        <v>61</v>
      </c>
      <c r="H56" s="9" t="s">
        <v>306</v>
      </c>
      <c r="I56" s="9" t="s">
        <v>307</v>
      </c>
      <c r="J56" s="9" t="s">
        <v>308</v>
      </c>
      <c r="K56" s="9" t="s">
        <v>309</v>
      </c>
      <c r="L56" s="9" t="s">
        <v>66</v>
      </c>
      <c r="M56" s="9" t="s">
        <v>28</v>
      </c>
      <c r="N56" s="12" t="s">
        <v>310</v>
      </c>
      <c r="O56" s="9" t="s">
        <v>311</v>
      </c>
    </row>
    <row r="57" customFormat="false" ht="46.25" hidden="false" customHeight="false" outlineLevel="0" collapsed="false">
      <c r="A57" s="9" t="n">
        <v>53</v>
      </c>
      <c r="B57" s="9" t="s">
        <v>241</v>
      </c>
      <c r="C57" s="9" t="s">
        <v>312</v>
      </c>
      <c r="D57" s="14" t="n">
        <v>10.64</v>
      </c>
      <c r="E57" s="9" t="s">
        <v>83</v>
      </c>
      <c r="F57" s="11" t="s">
        <v>148</v>
      </c>
      <c r="G57" s="9" t="s">
        <v>313</v>
      </c>
      <c r="H57" s="9" t="s">
        <v>314</v>
      </c>
      <c r="I57" s="9" t="s">
        <v>315</v>
      </c>
      <c r="J57" s="9" t="s">
        <v>316</v>
      </c>
      <c r="K57" s="9" t="s">
        <v>317</v>
      </c>
      <c r="L57" s="9" t="s">
        <v>164</v>
      </c>
      <c r="M57" s="9" t="s">
        <v>28</v>
      </c>
      <c r="N57" s="12" t="s">
        <v>318</v>
      </c>
      <c r="O57" s="9" t="s">
        <v>319</v>
      </c>
    </row>
    <row r="58" customFormat="false" ht="35.05" hidden="false" customHeight="false" outlineLevel="0" collapsed="false">
      <c r="A58" s="9" t="n">
        <v>54</v>
      </c>
      <c r="B58" s="9" t="s">
        <v>241</v>
      </c>
      <c r="C58" s="9" t="s">
        <v>320</v>
      </c>
      <c r="D58" s="13" t="s">
        <v>321</v>
      </c>
      <c r="E58" s="9" t="s">
        <v>322</v>
      </c>
      <c r="F58" s="11" t="s">
        <v>297</v>
      </c>
      <c r="G58" s="9" t="s">
        <v>61</v>
      </c>
      <c r="H58" s="9" t="s">
        <v>323</v>
      </c>
      <c r="I58" s="9" t="s">
        <v>307</v>
      </c>
      <c r="J58" s="9" t="s">
        <v>308</v>
      </c>
      <c r="K58" s="9" t="s">
        <v>309</v>
      </c>
      <c r="L58" s="9" t="s">
        <v>66</v>
      </c>
      <c r="M58" s="9" t="s">
        <v>34</v>
      </c>
      <c r="N58" s="12" t="s">
        <v>310</v>
      </c>
      <c r="O58" s="9" t="s">
        <v>324</v>
      </c>
    </row>
    <row r="59" customFormat="false" ht="35.05" hidden="false" customHeight="false" outlineLevel="0" collapsed="false">
      <c r="A59" s="9" t="n">
        <v>55</v>
      </c>
      <c r="B59" s="9" t="s">
        <v>241</v>
      </c>
      <c r="C59" s="9" t="s">
        <v>325</v>
      </c>
      <c r="D59" s="14" t="n">
        <v>13.4</v>
      </c>
      <c r="E59" s="9" t="s">
        <v>83</v>
      </c>
      <c r="F59" s="11" t="s">
        <v>326</v>
      </c>
      <c r="G59" s="9" t="s">
        <v>287</v>
      </c>
      <c r="H59" s="9" t="s">
        <v>327</v>
      </c>
      <c r="I59" s="9" t="s">
        <v>328</v>
      </c>
      <c r="J59" s="9" t="s">
        <v>329</v>
      </c>
      <c r="K59" s="9" t="s">
        <v>330</v>
      </c>
      <c r="L59" s="9" t="s">
        <v>172</v>
      </c>
      <c r="M59" s="9" t="s">
        <v>32</v>
      </c>
      <c r="N59" s="12" t="s">
        <v>331</v>
      </c>
      <c r="O59" s="9" t="s">
        <v>332</v>
      </c>
    </row>
    <row r="60" customFormat="false" ht="35.05" hidden="false" customHeight="false" outlineLevel="0" collapsed="false">
      <c r="A60" s="9" t="n">
        <v>56</v>
      </c>
      <c r="B60" s="9" t="s">
        <v>241</v>
      </c>
      <c r="C60" s="9" t="s">
        <v>333</v>
      </c>
      <c r="D60" s="14" t="n">
        <v>9.67</v>
      </c>
      <c r="E60" s="9" t="s">
        <v>83</v>
      </c>
      <c r="F60" s="11" t="s">
        <v>148</v>
      </c>
      <c r="G60" s="9" t="s">
        <v>61</v>
      </c>
      <c r="H60" s="9" t="s">
        <v>334</v>
      </c>
      <c r="I60" s="9" t="s">
        <v>328</v>
      </c>
      <c r="J60" s="9" t="s">
        <v>329</v>
      </c>
      <c r="K60" s="9" t="s">
        <v>330</v>
      </c>
      <c r="L60" s="9" t="s">
        <v>172</v>
      </c>
      <c r="M60" s="9" t="s">
        <v>34</v>
      </c>
      <c r="N60" s="12" t="s">
        <v>331</v>
      </c>
      <c r="O60" s="9" t="s">
        <v>335</v>
      </c>
    </row>
    <row r="61" customFormat="false" ht="35.05" hidden="false" customHeight="false" outlineLevel="0" collapsed="false">
      <c r="A61" s="9" t="n">
        <v>57</v>
      </c>
      <c r="B61" s="9" t="s">
        <v>241</v>
      </c>
      <c r="C61" s="9" t="s">
        <v>325</v>
      </c>
      <c r="D61" s="14" t="n">
        <v>12.5</v>
      </c>
      <c r="E61" s="9" t="s">
        <v>83</v>
      </c>
      <c r="F61" s="11" t="s">
        <v>107</v>
      </c>
      <c r="G61" s="9" t="s">
        <v>287</v>
      </c>
      <c r="H61" s="9" t="s">
        <v>336</v>
      </c>
      <c r="I61" s="9" t="s">
        <v>337</v>
      </c>
      <c r="J61" s="9" t="s">
        <v>338</v>
      </c>
      <c r="K61" s="9" t="s">
        <v>339</v>
      </c>
      <c r="L61" s="9" t="s">
        <v>136</v>
      </c>
      <c r="M61" s="9" t="s">
        <v>32</v>
      </c>
      <c r="N61" s="12" t="s">
        <v>340</v>
      </c>
      <c r="O61" s="9" t="s">
        <v>341</v>
      </c>
    </row>
    <row r="62" customFormat="false" ht="35.05" hidden="false" customHeight="false" outlineLevel="0" collapsed="false">
      <c r="A62" s="9" t="n">
        <v>58</v>
      </c>
      <c r="B62" s="9" t="s">
        <v>241</v>
      </c>
      <c r="C62" s="9" t="s">
        <v>342</v>
      </c>
      <c r="D62" s="14" t="n">
        <v>28.8</v>
      </c>
      <c r="E62" s="9" t="s">
        <v>83</v>
      </c>
      <c r="F62" s="11" t="s">
        <v>343</v>
      </c>
      <c r="G62" s="9" t="s">
        <v>344</v>
      </c>
      <c r="H62" s="9" t="s">
        <v>345</v>
      </c>
      <c r="I62" s="9" t="s">
        <v>337</v>
      </c>
      <c r="J62" s="9" t="s">
        <v>338</v>
      </c>
      <c r="K62" s="9" t="s">
        <v>339</v>
      </c>
      <c r="L62" s="9" t="s">
        <v>136</v>
      </c>
      <c r="M62" s="9" t="s">
        <v>32</v>
      </c>
      <c r="N62" s="12" t="s">
        <v>340</v>
      </c>
      <c r="O62" s="9" t="s">
        <v>277</v>
      </c>
    </row>
    <row r="63" customFormat="false" ht="35.05" hidden="false" customHeight="false" outlineLevel="0" collapsed="false">
      <c r="A63" s="9" t="n">
        <v>59</v>
      </c>
      <c r="B63" s="9" t="s">
        <v>241</v>
      </c>
      <c r="C63" s="9" t="s">
        <v>346</v>
      </c>
      <c r="D63" s="14" t="n">
        <v>21.7</v>
      </c>
      <c r="E63" s="9" t="s">
        <v>83</v>
      </c>
      <c r="F63" s="11" t="s">
        <v>343</v>
      </c>
      <c r="G63" s="9" t="s">
        <v>347</v>
      </c>
      <c r="H63" s="9" t="s">
        <v>348</v>
      </c>
      <c r="I63" s="9" t="s">
        <v>337</v>
      </c>
      <c r="J63" s="9" t="s">
        <v>338</v>
      </c>
      <c r="K63" s="9" t="s">
        <v>339</v>
      </c>
      <c r="L63" s="9" t="s">
        <v>136</v>
      </c>
      <c r="M63" s="9" t="s">
        <v>32</v>
      </c>
      <c r="N63" s="12" t="s">
        <v>340</v>
      </c>
      <c r="O63" s="9" t="s">
        <v>349</v>
      </c>
    </row>
    <row r="64" customFormat="false" ht="35.05" hidden="false" customHeight="false" outlineLevel="0" collapsed="false">
      <c r="A64" s="9" t="n">
        <v>60</v>
      </c>
      <c r="B64" s="9" t="s">
        <v>241</v>
      </c>
      <c r="C64" s="9" t="s">
        <v>350</v>
      </c>
      <c r="D64" s="14" t="n">
        <v>21.3</v>
      </c>
      <c r="E64" s="9" t="s">
        <v>83</v>
      </c>
      <c r="F64" s="11" t="s">
        <v>343</v>
      </c>
      <c r="G64" s="9" t="s">
        <v>351</v>
      </c>
      <c r="H64" s="9" t="s">
        <v>352</v>
      </c>
      <c r="I64" s="9" t="s">
        <v>337</v>
      </c>
      <c r="J64" s="9" t="s">
        <v>338</v>
      </c>
      <c r="K64" s="9" t="s">
        <v>339</v>
      </c>
      <c r="L64" s="9" t="s">
        <v>136</v>
      </c>
      <c r="M64" s="9" t="s">
        <v>32</v>
      </c>
      <c r="N64" s="12" t="s">
        <v>340</v>
      </c>
      <c r="O64" s="9" t="s">
        <v>277</v>
      </c>
    </row>
    <row r="65" customFormat="false" ht="15" hidden="false" customHeight="false" outlineLevel="0" collapsed="false">
      <c r="A65" s="9" t="n">
        <v>61</v>
      </c>
      <c r="B65" s="9" t="s">
        <v>241</v>
      </c>
      <c r="C65" s="9" t="s">
        <v>353</v>
      </c>
      <c r="D65" s="14" t="n">
        <v>12.46</v>
      </c>
      <c r="E65" s="9" t="s">
        <v>83</v>
      </c>
      <c r="F65" s="11" t="s">
        <v>148</v>
      </c>
      <c r="G65" s="9" t="s">
        <v>354</v>
      </c>
      <c r="H65" s="9" t="s">
        <v>355</v>
      </c>
      <c r="I65" s="9" t="s">
        <v>133</v>
      </c>
      <c r="J65" s="9" t="s">
        <v>134</v>
      </c>
      <c r="K65" s="9" t="s">
        <v>135</v>
      </c>
      <c r="L65" s="9" t="s">
        <v>136</v>
      </c>
      <c r="M65" s="9" t="s">
        <v>28</v>
      </c>
      <c r="N65" s="12" t="s">
        <v>137</v>
      </c>
      <c r="O65" s="9"/>
    </row>
    <row r="66" customFormat="false" ht="35.05" hidden="false" customHeight="false" outlineLevel="0" collapsed="false">
      <c r="A66" s="9" t="n">
        <v>62</v>
      </c>
      <c r="B66" s="9" t="s">
        <v>241</v>
      </c>
      <c r="C66" s="9" t="s">
        <v>356</v>
      </c>
      <c r="D66" s="14" t="n">
        <v>12.3</v>
      </c>
      <c r="E66" s="9" t="s">
        <v>83</v>
      </c>
      <c r="F66" s="11" t="s">
        <v>140</v>
      </c>
      <c r="G66" s="9" t="s">
        <v>313</v>
      </c>
      <c r="H66" s="9" t="s">
        <v>357</v>
      </c>
      <c r="I66" s="9" t="s">
        <v>227</v>
      </c>
      <c r="J66" s="9" t="s">
        <v>228</v>
      </c>
      <c r="K66" s="9" t="s">
        <v>229</v>
      </c>
      <c r="L66" s="9" t="s">
        <v>164</v>
      </c>
      <c r="M66" s="9" t="s">
        <v>28</v>
      </c>
      <c r="N66" s="12" t="s">
        <v>230</v>
      </c>
      <c r="O66" s="9" t="s">
        <v>358</v>
      </c>
    </row>
    <row r="67" customFormat="false" ht="35.05" hidden="false" customHeight="false" outlineLevel="0" collapsed="false">
      <c r="A67" s="9" t="n">
        <v>63</v>
      </c>
      <c r="B67" s="9" t="s">
        <v>241</v>
      </c>
      <c r="C67" s="9" t="s">
        <v>359</v>
      </c>
      <c r="D67" s="10" t="n">
        <v>40</v>
      </c>
      <c r="E67" s="9" t="s">
        <v>360</v>
      </c>
      <c r="F67" s="11" t="s">
        <v>107</v>
      </c>
      <c r="G67" s="9" t="s">
        <v>61</v>
      </c>
      <c r="H67" s="9" t="s">
        <v>361</v>
      </c>
      <c r="I67" s="9" t="s">
        <v>227</v>
      </c>
      <c r="J67" s="9" t="s">
        <v>228</v>
      </c>
      <c r="K67" s="9" t="s">
        <v>229</v>
      </c>
      <c r="L67" s="9" t="s">
        <v>164</v>
      </c>
      <c r="M67" s="9" t="s">
        <v>28</v>
      </c>
      <c r="N67" s="12" t="s">
        <v>230</v>
      </c>
      <c r="O67" s="9" t="s">
        <v>362</v>
      </c>
    </row>
    <row r="68" customFormat="false" ht="35.05" hidden="false" customHeight="false" outlineLevel="0" collapsed="false">
      <c r="A68" s="9" t="n">
        <v>64</v>
      </c>
      <c r="B68" s="9" t="s">
        <v>241</v>
      </c>
      <c r="C68" s="9" t="s">
        <v>363</v>
      </c>
      <c r="D68" s="10" t="n">
        <v>40</v>
      </c>
      <c r="E68" s="9" t="s">
        <v>364</v>
      </c>
      <c r="F68" s="11" t="s">
        <v>365</v>
      </c>
      <c r="G68" s="9" t="s">
        <v>366</v>
      </c>
      <c r="H68" s="9" t="s">
        <v>367</v>
      </c>
      <c r="I68" s="9" t="s">
        <v>227</v>
      </c>
      <c r="J68" s="9" t="s">
        <v>228</v>
      </c>
      <c r="K68" s="9" t="s">
        <v>229</v>
      </c>
      <c r="L68" s="9" t="s">
        <v>164</v>
      </c>
      <c r="M68" s="9" t="s">
        <v>28</v>
      </c>
      <c r="N68" s="12" t="s">
        <v>230</v>
      </c>
      <c r="O68" s="9" t="s">
        <v>368</v>
      </c>
    </row>
    <row r="69" customFormat="false" ht="35.05" hidden="false" customHeight="false" outlineLevel="0" collapsed="false">
      <c r="A69" s="9" t="n">
        <v>65</v>
      </c>
      <c r="B69" s="9" t="s">
        <v>241</v>
      </c>
      <c r="C69" s="9" t="s">
        <v>369</v>
      </c>
      <c r="D69" s="14" t="n">
        <v>11.6</v>
      </c>
      <c r="E69" s="9" t="s">
        <v>83</v>
      </c>
      <c r="F69" s="11" t="s">
        <v>297</v>
      </c>
      <c r="G69" s="9" t="s">
        <v>61</v>
      </c>
      <c r="H69" s="9" t="s">
        <v>370</v>
      </c>
      <c r="I69" s="9" t="s">
        <v>371</v>
      </c>
      <c r="J69" s="9" t="s">
        <v>372</v>
      </c>
      <c r="K69" s="9" t="s">
        <v>301</v>
      </c>
      <c r="L69" s="9" t="s">
        <v>164</v>
      </c>
      <c r="M69" s="9" t="s">
        <v>34</v>
      </c>
      <c r="N69" s="12" t="s">
        <v>373</v>
      </c>
      <c r="O69" s="9" t="s">
        <v>374</v>
      </c>
    </row>
    <row r="70" customFormat="false" ht="23.85" hidden="false" customHeight="false" outlineLevel="0" collapsed="false">
      <c r="A70" s="9" t="n">
        <v>66</v>
      </c>
      <c r="B70" s="9" t="s">
        <v>375</v>
      </c>
      <c r="C70" s="9" t="s">
        <v>376</v>
      </c>
      <c r="D70" s="14" t="n">
        <v>-1.8</v>
      </c>
      <c r="E70" s="9" t="s">
        <v>377</v>
      </c>
      <c r="F70" s="11" t="s">
        <v>378</v>
      </c>
      <c r="G70" s="9" t="s">
        <v>61</v>
      </c>
      <c r="H70" s="9" t="s">
        <v>379</v>
      </c>
      <c r="I70" s="9" t="s">
        <v>133</v>
      </c>
      <c r="J70" s="9" t="s">
        <v>134</v>
      </c>
      <c r="K70" s="9" t="s">
        <v>135</v>
      </c>
      <c r="L70" s="9" t="s">
        <v>136</v>
      </c>
      <c r="M70" s="9" t="s">
        <v>28</v>
      </c>
      <c r="N70" s="12" t="s">
        <v>137</v>
      </c>
      <c r="O70" s="9" t="s">
        <v>380</v>
      </c>
    </row>
    <row r="71" customFormat="false" ht="15" hidden="false" customHeight="false" outlineLevel="0" collapsed="false">
      <c r="A71" s="9" t="n">
        <v>67</v>
      </c>
      <c r="B71" s="9" t="s">
        <v>375</v>
      </c>
      <c r="C71" s="9" t="s">
        <v>381</v>
      </c>
      <c r="D71" s="14" t="n">
        <v>-1.2</v>
      </c>
      <c r="E71" s="9" t="s">
        <v>377</v>
      </c>
      <c r="F71" s="11" t="s">
        <v>378</v>
      </c>
      <c r="G71" s="9" t="s">
        <v>61</v>
      </c>
      <c r="H71" s="9" t="s">
        <v>250</v>
      </c>
      <c r="I71" s="9" t="s">
        <v>133</v>
      </c>
      <c r="J71" s="9" t="s">
        <v>134</v>
      </c>
      <c r="K71" s="9" t="s">
        <v>135</v>
      </c>
      <c r="L71" s="9" t="s">
        <v>136</v>
      </c>
      <c r="M71" s="9" t="s">
        <v>28</v>
      </c>
      <c r="N71" s="12" t="s">
        <v>137</v>
      </c>
      <c r="O71" s="9"/>
    </row>
    <row r="72" customFormat="false" ht="15" hidden="false" customHeight="false" outlineLevel="0" collapsed="false">
      <c r="A72" s="9" t="n">
        <v>68</v>
      </c>
      <c r="B72" s="9" t="s">
        <v>375</v>
      </c>
      <c r="C72" s="9" t="s">
        <v>382</v>
      </c>
      <c r="D72" s="14" t="n">
        <v>-1.6</v>
      </c>
      <c r="E72" s="9" t="s">
        <v>377</v>
      </c>
      <c r="F72" s="11" t="s">
        <v>378</v>
      </c>
      <c r="G72" s="9" t="s">
        <v>61</v>
      </c>
      <c r="H72" s="9" t="s">
        <v>383</v>
      </c>
      <c r="I72" s="9" t="s">
        <v>133</v>
      </c>
      <c r="J72" s="9" t="s">
        <v>134</v>
      </c>
      <c r="K72" s="9" t="s">
        <v>135</v>
      </c>
      <c r="L72" s="9" t="s">
        <v>136</v>
      </c>
      <c r="M72" s="9" t="s">
        <v>28</v>
      </c>
      <c r="N72" s="12" t="s">
        <v>137</v>
      </c>
      <c r="O72" s="9"/>
    </row>
    <row r="73" customFormat="false" ht="35.05" hidden="false" customHeight="false" outlineLevel="0" collapsed="false">
      <c r="A73" s="9" t="n">
        <v>69</v>
      </c>
      <c r="B73" s="9" t="s">
        <v>375</v>
      </c>
      <c r="C73" s="9" t="s">
        <v>384</v>
      </c>
      <c r="D73" s="10" t="n">
        <v>17</v>
      </c>
      <c r="E73" s="9" t="s">
        <v>83</v>
      </c>
      <c r="F73" s="11" t="s">
        <v>385</v>
      </c>
      <c r="G73" s="9" t="s">
        <v>61</v>
      </c>
      <c r="H73" s="9" t="s">
        <v>386</v>
      </c>
      <c r="I73" s="9" t="s">
        <v>227</v>
      </c>
      <c r="J73" s="9" t="s">
        <v>228</v>
      </c>
      <c r="K73" s="9" t="s">
        <v>229</v>
      </c>
      <c r="L73" s="9" t="s">
        <v>164</v>
      </c>
      <c r="M73" s="9" t="s">
        <v>28</v>
      </c>
      <c r="N73" s="12" t="s">
        <v>230</v>
      </c>
      <c r="O73" s="9" t="s">
        <v>387</v>
      </c>
    </row>
    <row r="74" customFormat="false" ht="35.05" hidden="false" customHeight="false" outlineLevel="0" collapsed="false">
      <c r="A74" s="9" t="n">
        <v>70</v>
      </c>
      <c r="B74" s="9" t="s">
        <v>375</v>
      </c>
      <c r="C74" s="9" t="s">
        <v>384</v>
      </c>
      <c r="D74" s="10" t="n">
        <v>20</v>
      </c>
      <c r="E74" s="9" t="s">
        <v>83</v>
      </c>
      <c r="F74" s="11" t="s">
        <v>388</v>
      </c>
      <c r="G74" s="9" t="s">
        <v>61</v>
      </c>
      <c r="H74" s="9" t="s">
        <v>389</v>
      </c>
      <c r="I74" s="9" t="s">
        <v>227</v>
      </c>
      <c r="J74" s="9" t="s">
        <v>228</v>
      </c>
      <c r="K74" s="9" t="s">
        <v>229</v>
      </c>
      <c r="L74" s="9" t="s">
        <v>164</v>
      </c>
      <c r="M74" s="9" t="s">
        <v>28</v>
      </c>
      <c r="N74" s="12" t="s">
        <v>230</v>
      </c>
      <c r="O74" s="9" t="s">
        <v>387</v>
      </c>
    </row>
    <row r="75" customFormat="false" ht="35.05" hidden="false" customHeight="false" outlineLevel="0" collapsed="false">
      <c r="A75" s="9" t="n">
        <v>71</v>
      </c>
      <c r="B75" s="9" t="s">
        <v>375</v>
      </c>
      <c r="C75" s="9" t="s">
        <v>390</v>
      </c>
      <c r="D75" s="14" t="n">
        <v>12.5</v>
      </c>
      <c r="E75" s="9" t="s">
        <v>83</v>
      </c>
      <c r="F75" s="11" t="s">
        <v>107</v>
      </c>
      <c r="G75" s="9" t="s">
        <v>61</v>
      </c>
      <c r="H75" s="9" t="s">
        <v>391</v>
      </c>
      <c r="I75" s="9" t="s">
        <v>227</v>
      </c>
      <c r="J75" s="9" t="s">
        <v>228</v>
      </c>
      <c r="K75" s="9" t="s">
        <v>229</v>
      </c>
      <c r="L75" s="9" t="s">
        <v>164</v>
      </c>
      <c r="M75" s="9" t="s">
        <v>28</v>
      </c>
      <c r="N75" s="12" t="s">
        <v>230</v>
      </c>
      <c r="O75" s="9" t="s">
        <v>392</v>
      </c>
    </row>
    <row r="76" customFormat="false" ht="35.05" hidden="false" customHeight="false" outlineLevel="0" collapsed="false">
      <c r="A76" s="9" t="n">
        <v>72</v>
      </c>
      <c r="B76" s="9" t="s">
        <v>375</v>
      </c>
      <c r="C76" s="9" t="s">
        <v>393</v>
      </c>
      <c r="D76" s="10" t="n">
        <v>62</v>
      </c>
      <c r="E76" s="9" t="s">
        <v>83</v>
      </c>
      <c r="F76" s="11" t="s">
        <v>388</v>
      </c>
      <c r="G76" s="9" t="s">
        <v>61</v>
      </c>
      <c r="H76" s="9" t="s">
        <v>394</v>
      </c>
      <c r="I76" s="9" t="s">
        <v>227</v>
      </c>
      <c r="J76" s="9" t="s">
        <v>228</v>
      </c>
      <c r="K76" s="9" t="s">
        <v>229</v>
      </c>
      <c r="L76" s="9" t="s">
        <v>164</v>
      </c>
      <c r="M76" s="9" t="s">
        <v>28</v>
      </c>
      <c r="N76" s="12" t="s">
        <v>230</v>
      </c>
      <c r="O76" s="9" t="s">
        <v>395</v>
      </c>
    </row>
    <row r="77" customFormat="false" ht="35.05" hidden="false" customHeight="false" outlineLevel="0" collapsed="false">
      <c r="A77" s="9" t="n">
        <v>73</v>
      </c>
      <c r="B77" s="9" t="s">
        <v>375</v>
      </c>
      <c r="C77" s="9" t="s">
        <v>396</v>
      </c>
      <c r="D77" s="10" t="n">
        <v>9</v>
      </c>
      <c r="E77" s="9" t="s">
        <v>364</v>
      </c>
      <c r="F77" s="11" t="s">
        <v>397</v>
      </c>
      <c r="G77" s="9" t="s">
        <v>61</v>
      </c>
      <c r="H77" s="9" t="s">
        <v>398</v>
      </c>
      <c r="I77" s="9" t="s">
        <v>227</v>
      </c>
      <c r="J77" s="9" t="s">
        <v>228</v>
      </c>
      <c r="K77" s="9" t="s">
        <v>229</v>
      </c>
      <c r="L77" s="9" t="s">
        <v>164</v>
      </c>
      <c r="M77" s="9" t="s">
        <v>28</v>
      </c>
      <c r="N77" s="12" t="s">
        <v>230</v>
      </c>
      <c r="O77" s="9" t="s">
        <v>395</v>
      </c>
    </row>
    <row r="78" customFormat="false" ht="35.05" hidden="false" customHeight="false" outlineLevel="0" collapsed="false">
      <c r="A78" s="9" t="n">
        <v>74</v>
      </c>
      <c r="B78" s="9" t="s">
        <v>375</v>
      </c>
      <c r="C78" s="9" t="s">
        <v>399</v>
      </c>
      <c r="D78" s="10" t="n">
        <v>31</v>
      </c>
      <c r="E78" s="9" t="s">
        <v>83</v>
      </c>
      <c r="F78" s="11" t="s">
        <v>400</v>
      </c>
      <c r="G78" s="9" t="s">
        <v>401</v>
      </c>
      <c r="H78" s="9" t="s">
        <v>402</v>
      </c>
      <c r="I78" s="9" t="s">
        <v>227</v>
      </c>
      <c r="J78" s="9" t="s">
        <v>228</v>
      </c>
      <c r="K78" s="9" t="s">
        <v>229</v>
      </c>
      <c r="L78" s="9" t="s">
        <v>164</v>
      </c>
      <c r="M78" s="9" t="s">
        <v>28</v>
      </c>
      <c r="N78" s="12" t="s">
        <v>230</v>
      </c>
      <c r="O78" s="9" t="s">
        <v>403</v>
      </c>
    </row>
    <row r="79" customFormat="false" ht="46.25" hidden="false" customHeight="false" outlineLevel="0" collapsed="false">
      <c r="A79" s="9" t="n">
        <v>75</v>
      </c>
      <c r="B79" s="9" t="s">
        <v>375</v>
      </c>
      <c r="C79" s="9" t="s">
        <v>404</v>
      </c>
      <c r="D79" s="13" t="s">
        <v>405</v>
      </c>
      <c r="E79" s="9" t="s">
        <v>83</v>
      </c>
      <c r="F79" s="11" t="s">
        <v>406</v>
      </c>
      <c r="G79" s="9" t="s">
        <v>313</v>
      </c>
      <c r="H79" s="9" t="s">
        <v>407</v>
      </c>
      <c r="I79" s="9" t="s">
        <v>162</v>
      </c>
      <c r="J79" s="9" t="s">
        <v>163</v>
      </c>
      <c r="K79" s="9" t="s">
        <v>107</v>
      </c>
      <c r="L79" s="9" t="s">
        <v>164</v>
      </c>
      <c r="M79" s="9" t="s">
        <v>28</v>
      </c>
      <c r="N79" s="12" t="s">
        <v>165</v>
      </c>
      <c r="O79" s="9" t="s">
        <v>408</v>
      </c>
    </row>
    <row r="80" customFormat="false" ht="23.85" hidden="false" customHeight="false" outlineLevel="0" collapsed="false">
      <c r="A80" s="9" t="n">
        <v>76</v>
      </c>
      <c r="B80" s="9" t="s">
        <v>375</v>
      </c>
      <c r="C80" s="9" t="s">
        <v>409</v>
      </c>
      <c r="D80" s="14" t="n">
        <v>15.05</v>
      </c>
      <c r="E80" s="9" t="s">
        <v>83</v>
      </c>
      <c r="F80" s="11" t="s">
        <v>148</v>
      </c>
      <c r="G80" s="9" t="s">
        <v>61</v>
      </c>
      <c r="H80" s="9" t="s">
        <v>410</v>
      </c>
      <c r="I80" s="9" t="s">
        <v>411</v>
      </c>
      <c r="J80" s="9" t="s">
        <v>412</v>
      </c>
      <c r="K80" s="9" t="s">
        <v>297</v>
      </c>
      <c r="L80" s="9" t="s">
        <v>172</v>
      </c>
      <c r="M80" s="9" t="s">
        <v>32</v>
      </c>
      <c r="N80" s="12" t="s">
        <v>413</v>
      </c>
      <c r="O80" s="9"/>
    </row>
    <row r="81" customFormat="false" ht="23.85" hidden="false" customHeight="false" outlineLevel="0" collapsed="false">
      <c r="A81" s="9" t="n">
        <v>77</v>
      </c>
      <c r="B81" s="9" t="s">
        <v>375</v>
      </c>
      <c r="C81" s="9" t="s">
        <v>414</v>
      </c>
      <c r="D81" s="10" t="n">
        <v>14000</v>
      </c>
      <c r="E81" s="9" t="s">
        <v>233</v>
      </c>
      <c r="F81" s="11" t="s">
        <v>415</v>
      </c>
      <c r="G81" s="9" t="s">
        <v>61</v>
      </c>
      <c r="H81" s="9" t="s">
        <v>416</v>
      </c>
      <c r="I81" s="9" t="s">
        <v>417</v>
      </c>
      <c r="J81" s="9" t="s">
        <v>418</v>
      </c>
      <c r="K81" s="9" t="s">
        <v>419</v>
      </c>
      <c r="L81" s="9" t="s">
        <v>136</v>
      </c>
      <c r="M81" s="9" t="s">
        <v>32</v>
      </c>
      <c r="N81" s="12" t="s">
        <v>420</v>
      </c>
      <c r="O81" s="9" t="s">
        <v>421</v>
      </c>
    </row>
    <row r="82" customFormat="false" ht="35.05" hidden="false" customHeight="false" outlineLevel="0" collapsed="false">
      <c r="A82" s="9" t="n">
        <v>78</v>
      </c>
      <c r="B82" s="9" t="s">
        <v>375</v>
      </c>
      <c r="C82" s="9" t="s">
        <v>422</v>
      </c>
      <c r="D82" s="14" t="n">
        <v>14.1</v>
      </c>
      <c r="E82" s="9" t="s">
        <v>83</v>
      </c>
      <c r="F82" s="11" t="s">
        <v>388</v>
      </c>
      <c r="G82" s="9" t="s">
        <v>61</v>
      </c>
      <c r="H82" s="9" t="s">
        <v>423</v>
      </c>
      <c r="I82" s="9" t="s">
        <v>236</v>
      </c>
      <c r="J82" s="9" t="s">
        <v>237</v>
      </c>
      <c r="K82" s="9" t="s">
        <v>238</v>
      </c>
      <c r="L82" s="9" t="s">
        <v>239</v>
      </c>
      <c r="M82" s="9" t="s">
        <v>28</v>
      </c>
      <c r="N82" s="12" t="s">
        <v>240</v>
      </c>
      <c r="O82" s="9"/>
    </row>
    <row r="83" customFormat="false" ht="23.85" hidden="false" customHeight="false" outlineLevel="0" collapsed="false">
      <c r="A83" s="9" t="n">
        <v>79</v>
      </c>
      <c r="B83" s="9" t="s">
        <v>424</v>
      </c>
      <c r="C83" s="9" t="s">
        <v>425</v>
      </c>
      <c r="D83" s="10" t="n">
        <v>1362</v>
      </c>
      <c r="E83" s="9" t="s">
        <v>426</v>
      </c>
      <c r="F83" s="11" t="s">
        <v>427</v>
      </c>
      <c r="G83" s="9" t="s">
        <v>75</v>
      </c>
      <c r="H83" s="9" t="s">
        <v>428</v>
      </c>
      <c r="I83" s="9" t="s">
        <v>429</v>
      </c>
      <c r="J83" s="9" t="s">
        <v>430</v>
      </c>
      <c r="K83" s="9" t="s">
        <v>297</v>
      </c>
      <c r="L83" s="9" t="s">
        <v>66</v>
      </c>
      <c r="M83" s="9" t="s">
        <v>28</v>
      </c>
      <c r="N83" s="12" t="s">
        <v>431</v>
      </c>
      <c r="O83" s="9"/>
    </row>
    <row r="84" customFormat="false" ht="23.85" hidden="false" customHeight="false" outlineLevel="0" collapsed="false">
      <c r="A84" s="9" t="n">
        <v>80</v>
      </c>
      <c r="B84" s="9" t="s">
        <v>424</v>
      </c>
      <c r="C84" s="9" t="s">
        <v>432</v>
      </c>
      <c r="D84" s="10" t="n">
        <v>6</v>
      </c>
      <c r="E84" s="9" t="s">
        <v>433</v>
      </c>
      <c r="F84" s="11" t="s">
        <v>297</v>
      </c>
      <c r="G84" s="9" t="s">
        <v>61</v>
      </c>
      <c r="H84" s="9"/>
      <c r="I84" s="9" t="s">
        <v>429</v>
      </c>
      <c r="J84" s="9" t="s">
        <v>430</v>
      </c>
      <c r="K84" s="9" t="s">
        <v>297</v>
      </c>
      <c r="L84" s="9" t="s">
        <v>66</v>
      </c>
      <c r="M84" s="9" t="s">
        <v>34</v>
      </c>
      <c r="N84" s="12" t="s">
        <v>431</v>
      </c>
      <c r="O84" s="9" t="s">
        <v>434</v>
      </c>
    </row>
    <row r="85" customFormat="false" ht="35.05" hidden="false" customHeight="false" outlineLevel="0" collapsed="false">
      <c r="A85" s="9" t="n">
        <v>81</v>
      </c>
      <c r="B85" s="9" t="s">
        <v>424</v>
      </c>
      <c r="C85" s="9" t="s">
        <v>435</v>
      </c>
      <c r="D85" s="14" t="n">
        <v>18.3</v>
      </c>
      <c r="E85" s="9" t="s">
        <v>83</v>
      </c>
      <c r="F85" s="11" t="s">
        <v>107</v>
      </c>
      <c r="G85" s="9" t="s">
        <v>436</v>
      </c>
      <c r="H85" s="9" t="s">
        <v>437</v>
      </c>
      <c r="I85" s="9" t="s">
        <v>438</v>
      </c>
      <c r="J85" s="9" t="s">
        <v>439</v>
      </c>
      <c r="K85" s="9" t="s">
        <v>440</v>
      </c>
      <c r="L85" s="9" t="s">
        <v>172</v>
      </c>
      <c r="M85" s="9" t="s">
        <v>32</v>
      </c>
      <c r="N85" s="12" t="s">
        <v>441</v>
      </c>
      <c r="O85" s="9" t="s">
        <v>442</v>
      </c>
    </row>
    <row r="86" customFormat="false" ht="35.05" hidden="false" customHeight="false" outlineLevel="0" collapsed="false">
      <c r="A86" s="9" t="n">
        <v>82</v>
      </c>
      <c r="B86" s="9" t="s">
        <v>424</v>
      </c>
      <c r="C86" s="9" t="s">
        <v>443</v>
      </c>
      <c r="D86" s="10" t="n">
        <v>45</v>
      </c>
      <c r="E86" s="9" t="s">
        <v>83</v>
      </c>
      <c r="F86" s="11" t="s">
        <v>388</v>
      </c>
      <c r="G86" s="9" t="s">
        <v>436</v>
      </c>
      <c r="H86" s="9" t="s">
        <v>444</v>
      </c>
      <c r="I86" s="9" t="s">
        <v>445</v>
      </c>
      <c r="J86" s="9" t="s">
        <v>446</v>
      </c>
      <c r="K86" s="9" t="s">
        <v>447</v>
      </c>
      <c r="L86" s="9" t="s">
        <v>172</v>
      </c>
      <c r="M86" s="9" t="s">
        <v>32</v>
      </c>
      <c r="N86" s="12" t="s">
        <v>448</v>
      </c>
      <c r="O86" s="9" t="s">
        <v>449</v>
      </c>
    </row>
    <row r="87" customFormat="false" ht="35.05" hidden="false" customHeight="false" outlineLevel="0" collapsed="false">
      <c r="A87" s="9" t="n">
        <v>83</v>
      </c>
      <c r="B87" s="9" t="s">
        <v>424</v>
      </c>
      <c r="C87" s="9" t="s">
        <v>450</v>
      </c>
      <c r="D87" s="10" t="n">
        <v>1213</v>
      </c>
      <c r="E87" s="9" t="s">
        <v>451</v>
      </c>
      <c r="F87" s="11" t="s">
        <v>388</v>
      </c>
      <c r="G87" s="9" t="s">
        <v>436</v>
      </c>
      <c r="H87" s="9" t="s">
        <v>452</v>
      </c>
      <c r="I87" s="9" t="s">
        <v>445</v>
      </c>
      <c r="J87" s="9" t="s">
        <v>446</v>
      </c>
      <c r="K87" s="9" t="s">
        <v>447</v>
      </c>
      <c r="L87" s="9" t="s">
        <v>172</v>
      </c>
      <c r="M87" s="9" t="s">
        <v>32</v>
      </c>
      <c r="N87" s="12" t="s">
        <v>448</v>
      </c>
      <c r="O87" s="9" t="s">
        <v>449</v>
      </c>
    </row>
    <row r="88" customFormat="false" ht="23.85" hidden="false" customHeight="false" outlineLevel="0" collapsed="false">
      <c r="A88" s="9" t="n">
        <v>84</v>
      </c>
      <c r="B88" s="9" t="s">
        <v>424</v>
      </c>
      <c r="C88" s="9" t="s">
        <v>453</v>
      </c>
      <c r="D88" s="13" t="s">
        <v>454</v>
      </c>
      <c r="E88" s="9" t="s">
        <v>159</v>
      </c>
      <c r="F88" s="11" t="s">
        <v>455</v>
      </c>
      <c r="G88" s="9" t="s">
        <v>436</v>
      </c>
      <c r="H88" s="9" t="s">
        <v>456</v>
      </c>
      <c r="I88" s="9" t="s">
        <v>457</v>
      </c>
      <c r="J88" s="9" t="s">
        <v>458</v>
      </c>
      <c r="K88" s="9" t="s">
        <v>326</v>
      </c>
      <c r="L88" s="9" t="s">
        <v>98</v>
      </c>
      <c r="M88" s="9" t="s">
        <v>28</v>
      </c>
      <c r="N88" s="12" t="s">
        <v>459</v>
      </c>
      <c r="O88" s="9"/>
    </row>
    <row r="89" customFormat="false" ht="23.85" hidden="false" customHeight="false" outlineLevel="0" collapsed="false">
      <c r="A89" s="9" t="n">
        <v>85</v>
      </c>
      <c r="B89" s="9" t="s">
        <v>424</v>
      </c>
      <c r="C89" s="9" t="s">
        <v>460</v>
      </c>
      <c r="D89" s="14" t="n">
        <v>15.8</v>
      </c>
      <c r="E89" s="9" t="s">
        <v>83</v>
      </c>
      <c r="F89" s="11" t="s">
        <v>461</v>
      </c>
      <c r="G89" s="9" t="s">
        <v>462</v>
      </c>
      <c r="H89" s="9" t="s">
        <v>463</v>
      </c>
      <c r="I89" s="9" t="s">
        <v>457</v>
      </c>
      <c r="J89" s="9" t="s">
        <v>458</v>
      </c>
      <c r="K89" s="9" t="s">
        <v>326</v>
      </c>
      <c r="L89" s="9" t="s">
        <v>98</v>
      </c>
      <c r="M89" s="9" t="s">
        <v>28</v>
      </c>
      <c r="N89" s="12" t="s">
        <v>459</v>
      </c>
      <c r="O89" s="9"/>
    </row>
    <row r="90" customFormat="false" ht="23.85" hidden="false" customHeight="false" outlineLevel="0" collapsed="false">
      <c r="A90" s="9" t="n">
        <v>86</v>
      </c>
      <c r="B90" s="9" t="s">
        <v>424</v>
      </c>
      <c r="C90" s="9" t="s">
        <v>464</v>
      </c>
      <c r="D90" s="14" t="n">
        <v>9.2</v>
      </c>
      <c r="E90" s="9" t="s">
        <v>83</v>
      </c>
      <c r="F90" s="11" t="s">
        <v>388</v>
      </c>
      <c r="G90" s="9" t="s">
        <v>462</v>
      </c>
      <c r="H90" s="9" t="s">
        <v>465</v>
      </c>
      <c r="I90" s="9" t="s">
        <v>457</v>
      </c>
      <c r="J90" s="9" t="s">
        <v>458</v>
      </c>
      <c r="K90" s="9" t="s">
        <v>326</v>
      </c>
      <c r="L90" s="9" t="s">
        <v>98</v>
      </c>
      <c r="M90" s="9" t="s">
        <v>28</v>
      </c>
      <c r="N90" s="12" t="s">
        <v>459</v>
      </c>
      <c r="O90" s="9"/>
    </row>
    <row r="91" customFormat="false" ht="23.85" hidden="false" customHeight="false" outlineLevel="0" collapsed="false">
      <c r="A91" s="9" t="n">
        <v>87</v>
      </c>
      <c r="B91" s="9" t="s">
        <v>424</v>
      </c>
      <c r="C91" s="9" t="s">
        <v>466</v>
      </c>
      <c r="D91" s="10" t="n">
        <v>122</v>
      </c>
      <c r="E91" s="9" t="s">
        <v>467</v>
      </c>
      <c r="F91" s="11" t="s">
        <v>468</v>
      </c>
      <c r="G91" s="9" t="s">
        <v>469</v>
      </c>
      <c r="H91" s="9" t="s">
        <v>470</v>
      </c>
      <c r="I91" s="9" t="s">
        <v>471</v>
      </c>
      <c r="J91" s="9" t="s">
        <v>472</v>
      </c>
      <c r="K91" s="9" t="s">
        <v>297</v>
      </c>
      <c r="L91" s="9" t="s">
        <v>66</v>
      </c>
      <c r="M91" s="9" t="s">
        <v>30</v>
      </c>
      <c r="N91" s="12" t="s">
        <v>473</v>
      </c>
      <c r="O91" s="9"/>
    </row>
    <row r="92" customFormat="false" ht="35.05" hidden="false" customHeight="false" outlineLevel="0" collapsed="false">
      <c r="A92" s="9" t="n">
        <v>88</v>
      </c>
      <c r="B92" s="9" t="s">
        <v>424</v>
      </c>
      <c r="C92" s="9" t="s">
        <v>474</v>
      </c>
      <c r="D92" s="10" t="n">
        <v>50</v>
      </c>
      <c r="E92" s="9" t="s">
        <v>475</v>
      </c>
      <c r="F92" s="11" t="s">
        <v>476</v>
      </c>
      <c r="G92" s="9" t="s">
        <v>436</v>
      </c>
      <c r="H92" s="9" t="s">
        <v>477</v>
      </c>
      <c r="I92" s="9" t="s">
        <v>478</v>
      </c>
      <c r="J92" s="9" t="s">
        <v>479</v>
      </c>
      <c r="K92" s="9" t="s">
        <v>84</v>
      </c>
      <c r="L92" s="9" t="s">
        <v>172</v>
      </c>
      <c r="M92" s="9" t="s">
        <v>32</v>
      </c>
      <c r="N92" s="12" t="s">
        <v>480</v>
      </c>
      <c r="O92" s="9"/>
    </row>
    <row r="93" customFormat="false" ht="23.85" hidden="false" customHeight="false" outlineLevel="0" collapsed="false">
      <c r="A93" s="9" t="n">
        <v>89</v>
      </c>
      <c r="B93" s="9" t="s">
        <v>424</v>
      </c>
      <c r="C93" s="9" t="s">
        <v>481</v>
      </c>
      <c r="D93" s="10" t="n">
        <v>4212100</v>
      </c>
      <c r="E93" s="9" t="s">
        <v>482</v>
      </c>
      <c r="F93" s="11" t="s">
        <v>483</v>
      </c>
      <c r="G93" s="9" t="s">
        <v>484</v>
      </c>
      <c r="H93" s="9" t="s">
        <v>485</v>
      </c>
      <c r="I93" s="9" t="s">
        <v>486</v>
      </c>
      <c r="J93" s="9" t="s">
        <v>487</v>
      </c>
      <c r="K93" s="9" t="s">
        <v>488</v>
      </c>
      <c r="L93" s="9" t="s">
        <v>66</v>
      </c>
      <c r="M93" s="9" t="s">
        <v>28</v>
      </c>
      <c r="N93" s="12" t="s">
        <v>489</v>
      </c>
      <c r="O93" s="9"/>
    </row>
    <row r="94" customFormat="false" ht="35.05" hidden="false" customHeight="false" outlineLevel="0" collapsed="false">
      <c r="A94" s="9" t="n">
        <v>90</v>
      </c>
      <c r="B94" s="9" t="s">
        <v>490</v>
      </c>
      <c r="C94" s="9" t="s">
        <v>491</v>
      </c>
      <c r="D94" s="10" t="n">
        <v>583466</v>
      </c>
      <c r="E94" s="9" t="s">
        <v>492</v>
      </c>
      <c r="F94" s="11" t="s">
        <v>140</v>
      </c>
      <c r="G94" s="9" t="s">
        <v>61</v>
      </c>
      <c r="H94" s="9" t="s">
        <v>493</v>
      </c>
      <c r="I94" s="9" t="s">
        <v>494</v>
      </c>
      <c r="J94" s="9" t="s">
        <v>495</v>
      </c>
      <c r="K94" s="9" t="s">
        <v>297</v>
      </c>
      <c r="L94" s="9" t="s">
        <v>66</v>
      </c>
      <c r="M94" s="9" t="s">
        <v>28</v>
      </c>
      <c r="N94" s="12" t="s">
        <v>496</v>
      </c>
      <c r="O94" s="9"/>
    </row>
    <row r="95" customFormat="false" ht="35.05" hidden="false" customHeight="false" outlineLevel="0" collapsed="false">
      <c r="A95" s="9" t="n">
        <v>91</v>
      </c>
      <c r="B95" s="9" t="s">
        <v>490</v>
      </c>
      <c r="C95" s="9" t="s">
        <v>491</v>
      </c>
      <c r="D95" s="10" t="n">
        <v>688220</v>
      </c>
      <c r="E95" s="9" t="s">
        <v>492</v>
      </c>
      <c r="F95" s="11" t="s">
        <v>388</v>
      </c>
      <c r="G95" s="9" t="s">
        <v>61</v>
      </c>
      <c r="H95" s="9" t="s">
        <v>250</v>
      </c>
      <c r="I95" s="9" t="s">
        <v>494</v>
      </c>
      <c r="J95" s="9" t="s">
        <v>495</v>
      </c>
      <c r="K95" s="9" t="s">
        <v>297</v>
      </c>
      <c r="L95" s="9" t="s">
        <v>66</v>
      </c>
      <c r="M95" s="9" t="s">
        <v>28</v>
      </c>
      <c r="N95" s="12" t="s">
        <v>496</v>
      </c>
      <c r="O95" s="9"/>
    </row>
    <row r="96" customFormat="false" ht="35.05" hidden="false" customHeight="false" outlineLevel="0" collapsed="false">
      <c r="A96" s="9" t="n">
        <v>92</v>
      </c>
      <c r="B96" s="9" t="s">
        <v>490</v>
      </c>
      <c r="C96" s="9" t="s">
        <v>491</v>
      </c>
      <c r="D96" s="10" t="n">
        <v>765384</v>
      </c>
      <c r="E96" s="9" t="s">
        <v>492</v>
      </c>
      <c r="F96" s="11" t="s">
        <v>107</v>
      </c>
      <c r="G96" s="9" t="s">
        <v>61</v>
      </c>
      <c r="H96" s="9" t="s">
        <v>250</v>
      </c>
      <c r="I96" s="9" t="s">
        <v>494</v>
      </c>
      <c r="J96" s="9" t="s">
        <v>495</v>
      </c>
      <c r="K96" s="9" t="s">
        <v>297</v>
      </c>
      <c r="L96" s="9" t="s">
        <v>66</v>
      </c>
      <c r="M96" s="9" t="s">
        <v>28</v>
      </c>
      <c r="N96" s="12" t="s">
        <v>496</v>
      </c>
      <c r="O96" s="9"/>
    </row>
    <row r="97" customFormat="false" ht="35.05" hidden="false" customHeight="false" outlineLevel="0" collapsed="false">
      <c r="A97" s="9" t="n">
        <v>93</v>
      </c>
      <c r="B97" s="9" t="s">
        <v>490</v>
      </c>
      <c r="C97" s="9" t="s">
        <v>491</v>
      </c>
      <c r="D97" s="10" t="n">
        <v>625386</v>
      </c>
      <c r="E97" s="9" t="s">
        <v>492</v>
      </c>
      <c r="F97" s="11" t="s">
        <v>326</v>
      </c>
      <c r="G97" s="9" t="s">
        <v>61</v>
      </c>
      <c r="H97" s="9" t="s">
        <v>250</v>
      </c>
      <c r="I97" s="9" t="s">
        <v>494</v>
      </c>
      <c r="J97" s="9" t="s">
        <v>495</v>
      </c>
      <c r="K97" s="9" t="s">
        <v>297</v>
      </c>
      <c r="L97" s="9" t="s">
        <v>66</v>
      </c>
      <c r="M97" s="9" t="s">
        <v>28</v>
      </c>
      <c r="N97" s="12" t="s">
        <v>496</v>
      </c>
      <c r="O97" s="9"/>
    </row>
    <row r="98" customFormat="false" ht="35.05" hidden="false" customHeight="false" outlineLevel="0" collapsed="false">
      <c r="A98" s="9" t="n">
        <v>94</v>
      </c>
      <c r="B98" s="9" t="s">
        <v>490</v>
      </c>
      <c r="C98" s="9" t="s">
        <v>491</v>
      </c>
      <c r="D98" s="10" t="n">
        <v>605844</v>
      </c>
      <c r="E98" s="9" t="s">
        <v>492</v>
      </c>
      <c r="F98" s="11" t="s">
        <v>148</v>
      </c>
      <c r="G98" s="9" t="s">
        <v>61</v>
      </c>
      <c r="H98" s="9" t="s">
        <v>497</v>
      </c>
      <c r="I98" s="9" t="s">
        <v>494</v>
      </c>
      <c r="J98" s="9" t="s">
        <v>495</v>
      </c>
      <c r="K98" s="9" t="s">
        <v>297</v>
      </c>
      <c r="L98" s="9" t="s">
        <v>66</v>
      </c>
      <c r="M98" s="9" t="s">
        <v>28</v>
      </c>
      <c r="N98" s="12" t="s">
        <v>496</v>
      </c>
      <c r="O98" s="9"/>
    </row>
    <row r="99" customFormat="false" ht="35.05" hidden="false" customHeight="false" outlineLevel="0" collapsed="false">
      <c r="A99" s="9" t="n">
        <v>95</v>
      </c>
      <c r="B99" s="9" t="s">
        <v>490</v>
      </c>
      <c r="C99" s="9" t="s">
        <v>498</v>
      </c>
      <c r="D99" s="10" t="n">
        <v>685215</v>
      </c>
      <c r="E99" s="9" t="s">
        <v>492</v>
      </c>
      <c r="F99" s="11" t="s">
        <v>148</v>
      </c>
      <c r="G99" s="9" t="s">
        <v>61</v>
      </c>
      <c r="H99" s="9" t="s">
        <v>499</v>
      </c>
      <c r="I99" s="9" t="s">
        <v>494</v>
      </c>
      <c r="J99" s="9" t="s">
        <v>495</v>
      </c>
      <c r="K99" s="9" t="s">
        <v>297</v>
      </c>
      <c r="L99" s="9" t="s">
        <v>66</v>
      </c>
      <c r="M99" s="9" t="s">
        <v>28</v>
      </c>
      <c r="N99" s="12" t="s">
        <v>496</v>
      </c>
      <c r="O99" s="9"/>
    </row>
    <row r="100" customFormat="false" ht="35.05" hidden="false" customHeight="false" outlineLevel="0" collapsed="false">
      <c r="A100" s="9" t="n">
        <v>96</v>
      </c>
      <c r="B100" s="9" t="s">
        <v>490</v>
      </c>
      <c r="C100" s="9" t="s">
        <v>500</v>
      </c>
      <c r="D100" s="10" t="n">
        <v>234940</v>
      </c>
      <c r="E100" s="9" t="s">
        <v>492</v>
      </c>
      <c r="F100" s="11" t="s">
        <v>148</v>
      </c>
      <c r="G100" s="9" t="s">
        <v>61</v>
      </c>
      <c r="H100" s="9" t="s">
        <v>501</v>
      </c>
      <c r="I100" s="9" t="s">
        <v>494</v>
      </c>
      <c r="J100" s="9" t="s">
        <v>495</v>
      </c>
      <c r="K100" s="9" t="s">
        <v>297</v>
      </c>
      <c r="L100" s="9" t="s">
        <v>66</v>
      </c>
      <c r="M100" s="9" t="s">
        <v>28</v>
      </c>
      <c r="N100" s="12" t="s">
        <v>496</v>
      </c>
      <c r="O100" s="9" t="s">
        <v>502</v>
      </c>
    </row>
    <row r="101" customFormat="false" ht="35.05" hidden="false" customHeight="false" outlineLevel="0" collapsed="false">
      <c r="A101" s="9" t="n">
        <v>97</v>
      </c>
      <c r="B101" s="9" t="s">
        <v>490</v>
      </c>
      <c r="C101" s="9" t="s">
        <v>503</v>
      </c>
      <c r="D101" s="10" t="n">
        <v>138031</v>
      </c>
      <c r="E101" s="9" t="s">
        <v>492</v>
      </c>
      <c r="F101" s="11" t="s">
        <v>148</v>
      </c>
      <c r="G101" s="9" t="s">
        <v>61</v>
      </c>
      <c r="H101" s="9" t="s">
        <v>504</v>
      </c>
      <c r="I101" s="9" t="s">
        <v>494</v>
      </c>
      <c r="J101" s="9" t="s">
        <v>495</v>
      </c>
      <c r="K101" s="9" t="s">
        <v>297</v>
      </c>
      <c r="L101" s="9" t="s">
        <v>66</v>
      </c>
      <c r="M101" s="9" t="s">
        <v>28</v>
      </c>
      <c r="N101" s="12" t="s">
        <v>496</v>
      </c>
      <c r="O101" s="9"/>
    </row>
    <row r="102" customFormat="false" ht="35.05" hidden="false" customHeight="false" outlineLevel="0" collapsed="false">
      <c r="A102" s="9" t="n">
        <v>98</v>
      </c>
      <c r="B102" s="9" t="s">
        <v>490</v>
      </c>
      <c r="C102" s="9" t="s">
        <v>505</v>
      </c>
      <c r="D102" s="10" t="n">
        <v>29</v>
      </c>
      <c r="E102" s="9" t="s">
        <v>506</v>
      </c>
      <c r="F102" s="11" t="s">
        <v>148</v>
      </c>
      <c r="G102" s="9" t="s">
        <v>61</v>
      </c>
      <c r="H102" s="9" t="s">
        <v>507</v>
      </c>
      <c r="I102" s="9" t="s">
        <v>494</v>
      </c>
      <c r="J102" s="9" t="s">
        <v>495</v>
      </c>
      <c r="K102" s="9" t="s">
        <v>297</v>
      </c>
      <c r="L102" s="9" t="s">
        <v>66</v>
      </c>
      <c r="M102" s="9" t="s">
        <v>28</v>
      </c>
      <c r="N102" s="12" t="s">
        <v>496</v>
      </c>
      <c r="O102" s="9"/>
    </row>
    <row r="103" customFormat="false" ht="35.05" hidden="false" customHeight="false" outlineLevel="0" collapsed="false">
      <c r="A103" s="9" t="n">
        <v>99</v>
      </c>
      <c r="B103" s="9" t="s">
        <v>490</v>
      </c>
      <c r="C103" s="9" t="s">
        <v>508</v>
      </c>
      <c r="D103" s="10" t="n">
        <v>37127</v>
      </c>
      <c r="E103" s="9" t="s">
        <v>492</v>
      </c>
      <c r="F103" s="11" t="s">
        <v>148</v>
      </c>
      <c r="G103" s="9" t="s">
        <v>61</v>
      </c>
      <c r="H103" s="9" t="s">
        <v>509</v>
      </c>
      <c r="I103" s="9" t="s">
        <v>494</v>
      </c>
      <c r="J103" s="9" t="s">
        <v>495</v>
      </c>
      <c r="K103" s="9" t="s">
        <v>297</v>
      </c>
      <c r="L103" s="9" t="s">
        <v>66</v>
      </c>
      <c r="M103" s="9" t="s">
        <v>28</v>
      </c>
      <c r="N103" s="12" t="s">
        <v>496</v>
      </c>
      <c r="O103" s="9"/>
    </row>
    <row r="104" customFormat="false" ht="15" hidden="false" customHeight="false" outlineLevel="0" collapsed="false">
      <c r="A104" s="9" t="n">
        <v>100</v>
      </c>
      <c r="B104" s="9" t="s">
        <v>490</v>
      </c>
      <c r="C104" s="9" t="s">
        <v>510</v>
      </c>
      <c r="D104" s="14" t="n">
        <v>1.31</v>
      </c>
      <c r="E104" s="9" t="s">
        <v>69</v>
      </c>
      <c r="F104" s="11" t="s">
        <v>234</v>
      </c>
      <c r="G104" s="9" t="s">
        <v>61</v>
      </c>
      <c r="H104" s="9" t="s">
        <v>511</v>
      </c>
      <c r="I104" s="9" t="s">
        <v>133</v>
      </c>
      <c r="J104" s="9" t="s">
        <v>134</v>
      </c>
      <c r="K104" s="9" t="s">
        <v>135</v>
      </c>
      <c r="L104" s="9" t="s">
        <v>136</v>
      </c>
      <c r="M104" s="9" t="s">
        <v>28</v>
      </c>
      <c r="N104" s="12" t="s">
        <v>137</v>
      </c>
      <c r="O104" s="9" t="s">
        <v>512</v>
      </c>
    </row>
    <row r="105" customFormat="false" ht="23.85" hidden="false" customHeight="false" outlineLevel="0" collapsed="false">
      <c r="A105" s="9" t="n">
        <v>101</v>
      </c>
      <c r="B105" s="9" t="s">
        <v>490</v>
      </c>
      <c r="C105" s="9" t="s">
        <v>510</v>
      </c>
      <c r="D105" s="14" t="n">
        <v>0.47</v>
      </c>
      <c r="E105" s="9" t="s">
        <v>69</v>
      </c>
      <c r="F105" s="11" t="s">
        <v>148</v>
      </c>
      <c r="G105" s="9" t="s">
        <v>61</v>
      </c>
      <c r="H105" s="9" t="s">
        <v>513</v>
      </c>
      <c r="I105" s="9" t="s">
        <v>133</v>
      </c>
      <c r="J105" s="9" t="s">
        <v>134</v>
      </c>
      <c r="K105" s="9" t="s">
        <v>135</v>
      </c>
      <c r="L105" s="9" t="s">
        <v>136</v>
      </c>
      <c r="M105" s="9" t="s">
        <v>28</v>
      </c>
      <c r="N105" s="12" t="s">
        <v>137</v>
      </c>
      <c r="O105" s="9" t="s">
        <v>514</v>
      </c>
    </row>
    <row r="106" customFormat="false" ht="23.85" hidden="false" customHeight="false" outlineLevel="0" collapsed="false">
      <c r="A106" s="9" t="n">
        <v>102</v>
      </c>
      <c r="B106" s="9" t="s">
        <v>490</v>
      </c>
      <c r="C106" s="9" t="s">
        <v>515</v>
      </c>
      <c r="D106" s="10" t="n">
        <v>1320</v>
      </c>
      <c r="E106" s="9" t="s">
        <v>115</v>
      </c>
      <c r="F106" s="11" t="s">
        <v>148</v>
      </c>
      <c r="G106" s="9" t="s">
        <v>61</v>
      </c>
      <c r="H106" s="9" t="s">
        <v>516</v>
      </c>
      <c r="I106" s="9" t="s">
        <v>133</v>
      </c>
      <c r="J106" s="9" t="s">
        <v>134</v>
      </c>
      <c r="K106" s="9" t="s">
        <v>135</v>
      </c>
      <c r="L106" s="9" t="s">
        <v>136</v>
      </c>
      <c r="M106" s="9" t="s">
        <v>28</v>
      </c>
      <c r="N106" s="12" t="s">
        <v>137</v>
      </c>
      <c r="O106" s="9" t="s">
        <v>517</v>
      </c>
    </row>
    <row r="107" customFormat="false" ht="23.85" hidden="false" customHeight="false" outlineLevel="0" collapsed="false">
      <c r="A107" s="9" t="n">
        <v>103</v>
      </c>
      <c r="B107" s="9" t="s">
        <v>490</v>
      </c>
      <c r="C107" s="9" t="s">
        <v>518</v>
      </c>
      <c r="D107" s="14" t="n">
        <v>3.9</v>
      </c>
      <c r="E107" s="9" t="s">
        <v>69</v>
      </c>
      <c r="F107" s="11" t="s">
        <v>148</v>
      </c>
      <c r="G107" s="9" t="s">
        <v>61</v>
      </c>
      <c r="H107" s="9" t="s">
        <v>519</v>
      </c>
      <c r="I107" s="9" t="s">
        <v>133</v>
      </c>
      <c r="J107" s="9" t="s">
        <v>134</v>
      </c>
      <c r="K107" s="9" t="s">
        <v>135</v>
      </c>
      <c r="L107" s="9" t="s">
        <v>136</v>
      </c>
      <c r="M107" s="9" t="s">
        <v>28</v>
      </c>
      <c r="N107" s="12" t="s">
        <v>137</v>
      </c>
      <c r="O107" s="9" t="s">
        <v>520</v>
      </c>
    </row>
    <row r="108" customFormat="false" ht="23.85" hidden="false" customHeight="false" outlineLevel="0" collapsed="false">
      <c r="A108" s="9" t="n">
        <v>104</v>
      </c>
      <c r="B108" s="9" t="s">
        <v>490</v>
      </c>
      <c r="C108" s="9" t="s">
        <v>521</v>
      </c>
      <c r="D108" s="10" t="n">
        <v>1774501</v>
      </c>
      <c r="E108" s="9" t="s">
        <v>492</v>
      </c>
      <c r="F108" s="11" t="s">
        <v>522</v>
      </c>
      <c r="G108" s="9" t="s">
        <v>61</v>
      </c>
      <c r="H108" s="9" t="s">
        <v>523</v>
      </c>
      <c r="I108" s="9" t="s">
        <v>133</v>
      </c>
      <c r="J108" s="9" t="s">
        <v>134</v>
      </c>
      <c r="K108" s="9" t="s">
        <v>135</v>
      </c>
      <c r="L108" s="9" t="s">
        <v>136</v>
      </c>
      <c r="M108" s="9" t="s">
        <v>28</v>
      </c>
      <c r="N108" s="12" t="s">
        <v>137</v>
      </c>
      <c r="O108" s="9"/>
    </row>
    <row r="109" customFormat="false" ht="23.85" hidden="false" customHeight="false" outlineLevel="0" collapsed="false">
      <c r="A109" s="9" t="n">
        <v>105</v>
      </c>
      <c r="B109" s="9" t="s">
        <v>490</v>
      </c>
      <c r="C109" s="9" t="s">
        <v>524</v>
      </c>
      <c r="D109" s="10" t="n">
        <v>1700000</v>
      </c>
      <c r="E109" s="9" t="s">
        <v>525</v>
      </c>
      <c r="F109" s="11" t="s">
        <v>385</v>
      </c>
      <c r="G109" s="9" t="s">
        <v>61</v>
      </c>
      <c r="H109" s="9" t="s">
        <v>526</v>
      </c>
      <c r="I109" s="9" t="s">
        <v>527</v>
      </c>
      <c r="J109" s="9" t="s">
        <v>528</v>
      </c>
      <c r="K109" s="9" t="s">
        <v>148</v>
      </c>
      <c r="L109" s="9" t="s">
        <v>172</v>
      </c>
      <c r="M109" s="9" t="s">
        <v>32</v>
      </c>
      <c r="N109" s="12" t="s">
        <v>529</v>
      </c>
      <c r="O109" s="9" t="s">
        <v>530</v>
      </c>
    </row>
    <row r="110" customFormat="false" ht="23.85" hidden="false" customHeight="false" outlineLevel="0" collapsed="false">
      <c r="A110" s="9" t="n">
        <v>106</v>
      </c>
      <c r="B110" s="9" t="s">
        <v>490</v>
      </c>
      <c r="C110" s="9" t="s">
        <v>531</v>
      </c>
      <c r="D110" s="10" t="n">
        <v>557000</v>
      </c>
      <c r="E110" s="9" t="s">
        <v>525</v>
      </c>
      <c r="F110" s="11" t="s">
        <v>326</v>
      </c>
      <c r="G110" s="9" t="s">
        <v>61</v>
      </c>
      <c r="H110" s="9" t="s">
        <v>532</v>
      </c>
      <c r="I110" s="9" t="s">
        <v>527</v>
      </c>
      <c r="J110" s="9" t="s">
        <v>528</v>
      </c>
      <c r="K110" s="9" t="s">
        <v>148</v>
      </c>
      <c r="L110" s="9" t="s">
        <v>172</v>
      </c>
      <c r="M110" s="9" t="s">
        <v>32</v>
      </c>
      <c r="N110" s="12" t="s">
        <v>529</v>
      </c>
      <c r="O110" s="9" t="s">
        <v>533</v>
      </c>
    </row>
    <row r="111" customFormat="false" ht="35.05" hidden="false" customHeight="false" outlineLevel="0" collapsed="false">
      <c r="A111" s="9" t="n">
        <v>107</v>
      </c>
      <c r="B111" s="9" t="s">
        <v>490</v>
      </c>
      <c r="C111" s="9" t="s">
        <v>534</v>
      </c>
      <c r="D111" s="10" t="n">
        <v>89870</v>
      </c>
      <c r="E111" s="9" t="s">
        <v>492</v>
      </c>
      <c r="F111" s="11" t="s">
        <v>326</v>
      </c>
      <c r="G111" s="9" t="s">
        <v>61</v>
      </c>
      <c r="H111" s="9" t="s">
        <v>535</v>
      </c>
      <c r="I111" s="9" t="s">
        <v>527</v>
      </c>
      <c r="J111" s="9" t="s">
        <v>528</v>
      </c>
      <c r="K111" s="9" t="s">
        <v>148</v>
      </c>
      <c r="L111" s="9" t="s">
        <v>172</v>
      </c>
      <c r="M111" s="9" t="s">
        <v>32</v>
      </c>
      <c r="N111" s="12" t="s">
        <v>529</v>
      </c>
      <c r="O111" s="9" t="s">
        <v>536</v>
      </c>
    </row>
    <row r="112" customFormat="false" ht="46.25" hidden="false" customHeight="false" outlineLevel="0" collapsed="false">
      <c r="A112" s="9" t="n">
        <v>108</v>
      </c>
      <c r="B112" s="9" t="s">
        <v>537</v>
      </c>
      <c r="C112" s="9" t="s">
        <v>538</v>
      </c>
      <c r="D112" s="10" t="n">
        <v>1000</v>
      </c>
      <c r="E112" s="9" t="s">
        <v>539</v>
      </c>
      <c r="F112" s="11" t="s">
        <v>540</v>
      </c>
      <c r="G112" s="9" t="s">
        <v>61</v>
      </c>
      <c r="H112" s="9" t="s">
        <v>541</v>
      </c>
      <c r="I112" s="9" t="s">
        <v>542</v>
      </c>
      <c r="J112" s="9" t="s">
        <v>543</v>
      </c>
      <c r="K112" s="9" t="s">
        <v>544</v>
      </c>
      <c r="L112" s="9" t="s">
        <v>545</v>
      </c>
      <c r="M112" s="9" t="s">
        <v>32</v>
      </c>
      <c r="N112" s="12" t="s">
        <v>546</v>
      </c>
      <c r="O112" s="9" t="s">
        <v>547</v>
      </c>
    </row>
    <row r="113" customFormat="false" ht="46.25" hidden="false" customHeight="false" outlineLevel="0" collapsed="false">
      <c r="A113" s="9" t="n">
        <v>109</v>
      </c>
      <c r="B113" s="9" t="s">
        <v>537</v>
      </c>
      <c r="C113" s="9" t="s">
        <v>548</v>
      </c>
      <c r="D113" s="10" t="n">
        <v>300</v>
      </c>
      <c r="E113" s="9" t="s">
        <v>492</v>
      </c>
      <c r="F113" s="11" t="s">
        <v>549</v>
      </c>
      <c r="G113" s="9" t="s">
        <v>61</v>
      </c>
      <c r="H113" s="9" t="s">
        <v>550</v>
      </c>
      <c r="I113" s="9" t="s">
        <v>542</v>
      </c>
      <c r="J113" s="9" t="s">
        <v>543</v>
      </c>
      <c r="K113" s="9" t="s">
        <v>544</v>
      </c>
      <c r="L113" s="9" t="s">
        <v>545</v>
      </c>
      <c r="M113" s="9" t="s">
        <v>32</v>
      </c>
      <c r="N113" s="12" t="s">
        <v>546</v>
      </c>
      <c r="O113" s="9" t="s">
        <v>551</v>
      </c>
    </row>
    <row r="114" customFormat="false" ht="46.25" hidden="false" customHeight="false" outlineLevel="0" collapsed="false">
      <c r="A114" s="9" t="n">
        <v>110</v>
      </c>
      <c r="B114" s="9" t="s">
        <v>537</v>
      </c>
      <c r="C114" s="9" t="s">
        <v>552</v>
      </c>
      <c r="D114" s="10" t="n">
        <v>1000</v>
      </c>
      <c r="E114" s="9" t="s">
        <v>492</v>
      </c>
      <c r="F114" s="11" t="s">
        <v>553</v>
      </c>
      <c r="G114" s="9" t="s">
        <v>61</v>
      </c>
      <c r="H114" s="9" t="s">
        <v>554</v>
      </c>
      <c r="I114" s="9" t="s">
        <v>542</v>
      </c>
      <c r="J114" s="9" t="s">
        <v>543</v>
      </c>
      <c r="K114" s="9" t="s">
        <v>544</v>
      </c>
      <c r="L114" s="9" t="s">
        <v>545</v>
      </c>
      <c r="M114" s="9" t="s">
        <v>32</v>
      </c>
      <c r="N114" s="12" t="s">
        <v>546</v>
      </c>
      <c r="O114" s="9" t="s">
        <v>555</v>
      </c>
    </row>
    <row r="115" customFormat="false" ht="46.25" hidden="false" customHeight="false" outlineLevel="0" collapsed="false">
      <c r="A115" s="9" t="n">
        <v>111</v>
      </c>
      <c r="B115" s="9" t="s">
        <v>537</v>
      </c>
      <c r="C115" s="9" t="s">
        <v>556</v>
      </c>
      <c r="D115" s="10" t="n">
        <v>3</v>
      </c>
      <c r="E115" s="9" t="s">
        <v>557</v>
      </c>
      <c r="F115" s="11" t="s">
        <v>558</v>
      </c>
      <c r="G115" s="9" t="s">
        <v>559</v>
      </c>
      <c r="H115" s="9" t="s">
        <v>560</v>
      </c>
      <c r="I115" s="9" t="s">
        <v>542</v>
      </c>
      <c r="J115" s="9" t="s">
        <v>543</v>
      </c>
      <c r="K115" s="9" t="s">
        <v>544</v>
      </c>
      <c r="L115" s="9" t="s">
        <v>545</v>
      </c>
      <c r="M115" s="9" t="s">
        <v>32</v>
      </c>
      <c r="N115" s="12" t="s">
        <v>546</v>
      </c>
      <c r="O115" s="9" t="s">
        <v>561</v>
      </c>
    </row>
    <row r="116" customFormat="false" ht="46.25" hidden="false" customHeight="false" outlineLevel="0" collapsed="false">
      <c r="A116" s="9" t="n">
        <v>112</v>
      </c>
      <c r="B116" s="9" t="s">
        <v>537</v>
      </c>
      <c r="C116" s="9" t="s">
        <v>562</v>
      </c>
      <c r="D116" s="10" t="n">
        <v>10000</v>
      </c>
      <c r="E116" s="9" t="s">
        <v>115</v>
      </c>
      <c r="F116" s="11" t="s">
        <v>388</v>
      </c>
      <c r="G116" s="9" t="s">
        <v>61</v>
      </c>
      <c r="H116" s="9" t="s">
        <v>563</v>
      </c>
      <c r="I116" s="9" t="s">
        <v>542</v>
      </c>
      <c r="J116" s="9" t="s">
        <v>543</v>
      </c>
      <c r="K116" s="9" t="s">
        <v>544</v>
      </c>
      <c r="L116" s="9" t="s">
        <v>545</v>
      </c>
      <c r="M116" s="9" t="s">
        <v>32</v>
      </c>
      <c r="N116" s="12" t="s">
        <v>546</v>
      </c>
      <c r="O116" s="9" t="s">
        <v>564</v>
      </c>
    </row>
    <row r="117" customFormat="false" ht="35.05" hidden="false" customHeight="false" outlineLevel="0" collapsed="false">
      <c r="A117" s="9" t="n">
        <v>113</v>
      </c>
      <c r="B117" s="9" t="s">
        <v>537</v>
      </c>
      <c r="C117" s="9" t="s">
        <v>565</v>
      </c>
      <c r="D117" s="10" t="n">
        <v>2022</v>
      </c>
      <c r="E117" s="9" t="s">
        <v>566</v>
      </c>
      <c r="F117" s="11" t="s">
        <v>107</v>
      </c>
      <c r="G117" s="9" t="s">
        <v>61</v>
      </c>
      <c r="H117" s="9" t="s">
        <v>567</v>
      </c>
      <c r="I117" s="9" t="s">
        <v>494</v>
      </c>
      <c r="J117" s="9" t="s">
        <v>495</v>
      </c>
      <c r="K117" s="9" t="s">
        <v>297</v>
      </c>
      <c r="L117" s="9" t="s">
        <v>66</v>
      </c>
      <c r="M117" s="9" t="s">
        <v>28</v>
      </c>
      <c r="N117" s="12" t="s">
        <v>496</v>
      </c>
      <c r="O117" s="9"/>
    </row>
    <row r="118" customFormat="false" ht="35.05" hidden="false" customHeight="false" outlineLevel="0" collapsed="false">
      <c r="A118" s="9" t="n">
        <v>114</v>
      </c>
      <c r="B118" s="9" t="s">
        <v>568</v>
      </c>
      <c r="C118" s="9" t="s">
        <v>569</v>
      </c>
      <c r="D118" s="10" t="n">
        <v>15119</v>
      </c>
      <c r="E118" s="9" t="s">
        <v>570</v>
      </c>
      <c r="F118" s="11" t="s">
        <v>148</v>
      </c>
      <c r="G118" s="9" t="s">
        <v>61</v>
      </c>
      <c r="H118" s="9" t="s">
        <v>571</v>
      </c>
      <c r="I118" s="9" t="s">
        <v>572</v>
      </c>
      <c r="J118" s="9" t="s">
        <v>573</v>
      </c>
      <c r="K118" s="9" t="s">
        <v>301</v>
      </c>
      <c r="L118" s="9" t="s">
        <v>98</v>
      </c>
      <c r="M118" s="9" t="s">
        <v>28</v>
      </c>
      <c r="N118" s="12" t="s">
        <v>574</v>
      </c>
      <c r="O118" s="9"/>
    </row>
    <row r="119" customFormat="false" ht="35.05" hidden="false" customHeight="false" outlineLevel="0" collapsed="false">
      <c r="A119" s="9" t="n">
        <v>115</v>
      </c>
      <c r="B119" s="9" t="s">
        <v>568</v>
      </c>
      <c r="C119" s="9" t="s">
        <v>575</v>
      </c>
      <c r="D119" s="10" t="n">
        <v>24315</v>
      </c>
      <c r="E119" s="9" t="s">
        <v>576</v>
      </c>
      <c r="F119" s="11" t="s">
        <v>577</v>
      </c>
      <c r="G119" s="9" t="s">
        <v>578</v>
      </c>
      <c r="H119" s="9" t="s">
        <v>579</v>
      </c>
      <c r="I119" s="9" t="s">
        <v>494</v>
      </c>
      <c r="J119" s="9" t="s">
        <v>495</v>
      </c>
      <c r="K119" s="9" t="s">
        <v>297</v>
      </c>
      <c r="L119" s="9" t="s">
        <v>66</v>
      </c>
      <c r="M119" s="9" t="s">
        <v>28</v>
      </c>
      <c r="N119" s="12" t="s">
        <v>496</v>
      </c>
      <c r="O119" s="9" t="s">
        <v>580</v>
      </c>
    </row>
    <row r="120" customFormat="false" ht="35.05" hidden="false" customHeight="false" outlineLevel="0" collapsed="false">
      <c r="A120" s="9" t="n">
        <v>116</v>
      </c>
      <c r="B120" s="9" t="s">
        <v>568</v>
      </c>
      <c r="C120" s="9" t="s">
        <v>581</v>
      </c>
      <c r="D120" s="10" t="n">
        <v>19263</v>
      </c>
      <c r="E120" s="9" t="s">
        <v>570</v>
      </c>
      <c r="F120" s="11" t="s">
        <v>326</v>
      </c>
      <c r="G120" s="9" t="s">
        <v>61</v>
      </c>
      <c r="H120" s="9" t="s">
        <v>582</v>
      </c>
      <c r="I120" s="9" t="s">
        <v>583</v>
      </c>
      <c r="J120" s="9" t="s">
        <v>584</v>
      </c>
      <c r="K120" s="9" t="s">
        <v>84</v>
      </c>
      <c r="L120" s="9" t="s">
        <v>66</v>
      </c>
      <c r="M120" s="9" t="s">
        <v>34</v>
      </c>
      <c r="N120" s="12" t="s">
        <v>585</v>
      </c>
      <c r="O120" s="9" t="s">
        <v>586</v>
      </c>
    </row>
    <row r="121" customFormat="false" ht="35.05" hidden="false" customHeight="false" outlineLevel="0" collapsed="false">
      <c r="A121" s="9" t="n">
        <v>117</v>
      </c>
      <c r="B121" s="9" t="s">
        <v>568</v>
      </c>
      <c r="C121" s="9" t="s">
        <v>587</v>
      </c>
      <c r="D121" s="10" t="n">
        <v>25</v>
      </c>
      <c r="E121" s="9" t="s">
        <v>83</v>
      </c>
      <c r="F121" s="11" t="s">
        <v>588</v>
      </c>
      <c r="G121" s="9" t="s">
        <v>61</v>
      </c>
      <c r="H121" s="9" t="s">
        <v>589</v>
      </c>
      <c r="I121" s="9" t="s">
        <v>583</v>
      </c>
      <c r="J121" s="9" t="s">
        <v>584</v>
      </c>
      <c r="K121" s="9" t="s">
        <v>84</v>
      </c>
      <c r="L121" s="9" t="s">
        <v>66</v>
      </c>
      <c r="M121" s="9" t="s">
        <v>28</v>
      </c>
      <c r="N121" s="12" t="s">
        <v>585</v>
      </c>
      <c r="O121" s="9" t="s">
        <v>590</v>
      </c>
    </row>
    <row r="122" customFormat="false" ht="35.05" hidden="false" customHeight="false" outlineLevel="0" collapsed="false">
      <c r="A122" s="9" t="n">
        <v>118</v>
      </c>
      <c r="B122" s="9" t="s">
        <v>568</v>
      </c>
      <c r="C122" s="9" t="s">
        <v>591</v>
      </c>
      <c r="D122" s="10" t="n">
        <v>123</v>
      </c>
      <c r="E122" s="9" t="s">
        <v>592</v>
      </c>
      <c r="F122" s="11" t="s">
        <v>148</v>
      </c>
      <c r="G122" s="9" t="s">
        <v>61</v>
      </c>
      <c r="H122" s="9" t="s">
        <v>593</v>
      </c>
      <c r="I122" s="9" t="s">
        <v>594</v>
      </c>
      <c r="J122" s="9" t="s">
        <v>595</v>
      </c>
      <c r="K122" s="9" t="s">
        <v>596</v>
      </c>
      <c r="L122" s="9" t="s">
        <v>66</v>
      </c>
      <c r="M122" s="9" t="s">
        <v>28</v>
      </c>
      <c r="N122" s="12" t="s">
        <v>597</v>
      </c>
      <c r="O122" s="9"/>
    </row>
    <row r="123" customFormat="false" ht="23.85" hidden="false" customHeight="false" outlineLevel="0" collapsed="false">
      <c r="A123" s="9" t="n">
        <v>119</v>
      </c>
      <c r="B123" s="9" t="s">
        <v>598</v>
      </c>
      <c r="C123" s="9" t="s">
        <v>599</v>
      </c>
      <c r="D123" s="10" t="n">
        <v>4</v>
      </c>
      <c r="E123" s="9" t="s">
        <v>600</v>
      </c>
      <c r="F123" s="11" t="s">
        <v>601</v>
      </c>
      <c r="G123" s="9" t="s">
        <v>61</v>
      </c>
      <c r="H123" s="9" t="s">
        <v>602</v>
      </c>
      <c r="I123" s="9" t="s">
        <v>142</v>
      </c>
      <c r="J123" s="9" t="s">
        <v>143</v>
      </c>
      <c r="K123" s="9" t="s">
        <v>144</v>
      </c>
      <c r="L123" s="9" t="s">
        <v>66</v>
      </c>
      <c r="M123" s="9" t="s">
        <v>28</v>
      </c>
      <c r="N123" s="12" t="s">
        <v>145</v>
      </c>
      <c r="O123" s="9" t="s">
        <v>603</v>
      </c>
    </row>
    <row r="124" customFormat="false" ht="23.85" hidden="false" customHeight="false" outlineLevel="0" collapsed="false">
      <c r="A124" s="9" t="n">
        <v>120</v>
      </c>
      <c r="B124" s="9" t="s">
        <v>598</v>
      </c>
      <c r="C124" s="9" t="s">
        <v>599</v>
      </c>
      <c r="D124" s="10" t="n">
        <v>8</v>
      </c>
      <c r="E124" s="9" t="s">
        <v>130</v>
      </c>
      <c r="F124" s="11" t="s">
        <v>140</v>
      </c>
      <c r="G124" s="9" t="s">
        <v>61</v>
      </c>
      <c r="H124" s="9" t="s">
        <v>250</v>
      </c>
      <c r="I124" s="9" t="s">
        <v>142</v>
      </c>
      <c r="J124" s="9" t="s">
        <v>143</v>
      </c>
      <c r="K124" s="9" t="s">
        <v>144</v>
      </c>
      <c r="L124" s="9" t="s">
        <v>66</v>
      </c>
      <c r="M124" s="9" t="s">
        <v>28</v>
      </c>
      <c r="N124" s="12" t="s">
        <v>145</v>
      </c>
      <c r="O124" s="9"/>
    </row>
    <row r="125" customFormat="false" ht="46.25" hidden="false" customHeight="false" outlineLevel="0" collapsed="false">
      <c r="A125" s="9" t="n">
        <v>121</v>
      </c>
      <c r="B125" s="9" t="s">
        <v>598</v>
      </c>
      <c r="C125" s="9" t="s">
        <v>599</v>
      </c>
      <c r="D125" s="10" t="n">
        <v>9</v>
      </c>
      <c r="E125" s="9" t="s">
        <v>83</v>
      </c>
      <c r="F125" s="11" t="s">
        <v>303</v>
      </c>
      <c r="G125" s="9" t="s">
        <v>61</v>
      </c>
      <c r="H125" s="9" t="s">
        <v>604</v>
      </c>
      <c r="I125" s="9" t="s">
        <v>122</v>
      </c>
      <c r="J125" s="9" t="s">
        <v>123</v>
      </c>
      <c r="K125" s="9" t="s">
        <v>124</v>
      </c>
      <c r="L125" s="9" t="s">
        <v>66</v>
      </c>
      <c r="M125" s="9" t="s">
        <v>28</v>
      </c>
      <c r="N125" s="12" t="s">
        <v>125</v>
      </c>
      <c r="O125" s="9"/>
    </row>
    <row r="126" customFormat="false" ht="23.85" hidden="false" customHeight="false" outlineLevel="0" collapsed="false">
      <c r="A126" s="9" t="n">
        <v>122</v>
      </c>
      <c r="B126" s="9" t="s">
        <v>598</v>
      </c>
      <c r="C126" s="9" t="s">
        <v>605</v>
      </c>
      <c r="D126" s="14" t="n">
        <v>7.24</v>
      </c>
      <c r="E126" s="9" t="s">
        <v>83</v>
      </c>
      <c r="F126" s="11" t="s">
        <v>148</v>
      </c>
      <c r="G126" s="9" t="s">
        <v>61</v>
      </c>
      <c r="H126" s="9" t="s">
        <v>606</v>
      </c>
      <c r="I126" s="9" t="s">
        <v>133</v>
      </c>
      <c r="J126" s="9" t="s">
        <v>134</v>
      </c>
      <c r="K126" s="9" t="s">
        <v>135</v>
      </c>
      <c r="L126" s="9" t="s">
        <v>136</v>
      </c>
      <c r="M126" s="9" t="s">
        <v>28</v>
      </c>
      <c r="N126" s="12" t="s">
        <v>137</v>
      </c>
      <c r="O126" s="9"/>
    </row>
    <row r="127" customFormat="false" ht="23.85" hidden="false" customHeight="false" outlineLevel="0" collapsed="false">
      <c r="A127" s="9" t="n">
        <v>123</v>
      </c>
      <c r="B127" s="9" t="s">
        <v>598</v>
      </c>
      <c r="C127" s="9" t="s">
        <v>607</v>
      </c>
      <c r="D127" s="10" t="n">
        <v>4</v>
      </c>
      <c r="E127" s="9" t="s">
        <v>83</v>
      </c>
      <c r="F127" s="11" t="s">
        <v>148</v>
      </c>
      <c r="G127" s="9" t="s">
        <v>61</v>
      </c>
      <c r="H127" s="9" t="s">
        <v>608</v>
      </c>
      <c r="I127" s="9" t="s">
        <v>133</v>
      </c>
      <c r="J127" s="9" t="s">
        <v>134</v>
      </c>
      <c r="K127" s="9" t="s">
        <v>135</v>
      </c>
      <c r="L127" s="9" t="s">
        <v>136</v>
      </c>
      <c r="M127" s="9" t="s">
        <v>28</v>
      </c>
      <c r="N127" s="12" t="s">
        <v>137</v>
      </c>
      <c r="O127" s="9"/>
    </row>
    <row r="128" customFormat="false" ht="23.85" hidden="false" customHeight="false" outlineLevel="0" collapsed="false">
      <c r="A128" s="9" t="n">
        <v>124</v>
      </c>
      <c r="B128" s="9" t="s">
        <v>598</v>
      </c>
      <c r="C128" s="9" t="s">
        <v>609</v>
      </c>
      <c r="D128" s="14" t="n">
        <v>16.7</v>
      </c>
      <c r="E128" s="9" t="s">
        <v>83</v>
      </c>
      <c r="F128" s="11" t="s">
        <v>148</v>
      </c>
      <c r="G128" s="9" t="s">
        <v>61</v>
      </c>
      <c r="H128" s="9" t="s">
        <v>610</v>
      </c>
      <c r="I128" s="9" t="s">
        <v>133</v>
      </c>
      <c r="J128" s="9" t="s">
        <v>134</v>
      </c>
      <c r="K128" s="9" t="s">
        <v>135</v>
      </c>
      <c r="L128" s="9" t="s">
        <v>136</v>
      </c>
      <c r="M128" s="9" t="s">
        <v>28</v>
      </c>
      <c r="N128" s="12" t="s">
        <v>137</v>
      </c>
      <c r="O128" s="9" t="s">
        <v>611</v>
      </c>
    </row>
    <row r="129" customFormat="false" ht="35.05" hidden="false" customHeight="false" outlineLevel="0" collapsed="false">
      <c r="A129" s="9" t="n">
        <v>125</v>
      </c>
      <c r="B129" s="9" t="s">
        <v>598</v>
      </c>
      <c r="C129" s="9" t="s">
        <v>605</v>
      </c>
      <c r="D129" s="14" t="n">
        <v>8.4</v>
      </c>
      <c r="E129" s="9" t="s">
        <v>83</v>
      </c>
      <c r="F129" s="11" t="s">
        <v>297</v>
      </c>
      <c r="G129" s="9" t="s">
        <v>61</v>
      </c>
      <c r="H129" s="9" t="s">
        <v>612</v>
      </c>
      <c r="I129" s="9" t="s">
        <v>299</v>
      </c>
      <c r="J129" s="9" t="s">
        <v>300</v>
      </c>
      <c r="K129" s="9" t="s">
        <v>301</v>
      </c>
      <c r="L129" s="9" t="s">
        <v>136</v>
      </c>
      <c r="M129" s="9" t="s">
        <v>36</v>
      </c>
      <c r="N129" s="9"/>
      <c r="O129" s="9" t="s">
        <v>302</v>
      </c>
    </row>
    <row r="130" customFormat="false" ht="35.05" hidden="false" customHeight="false" outlineLevel="0" collapsed="false">
      <c r="A130" s="9" t="n">
        <v>126</v>
      </c>
      <c r="B130" s="9" t="s">
        <v>598</v>
      </c>
      <c r="C130" s="9" t="s">
        <v>613</v>
      </c>
      <c r="D130" s="14" t="n">
        <v>6.9</v>
      </c>
      <c r="E130" s="9" t="s">
        <v>83</v>
      </c>
      <c r="F130" s="11" t="s">
        <v>388</v>
      </c>
      <c r="G130" s="9" t="s">
        <v>61</v>
      </c>
      <c r="H130" s="9" t="s">
        <v>614</v>
      </c>
      <c r="I130" s="9" t="s">
        <v>417</v>
      </c>
      <c r="J130" s="9" t="s">
        <v>418</v>
      </c>
      <c r="K130" s="9" t="s">
        <v>419</v>
      </c>
      <c r="L130" s="9" t="s">
        <v>136</v>
      </c>
      <c r="M130" s="9" t="s">
        <v>32</v>
      </c>
      <c r="N130" s="12" t="s">
        <v>420</v>
      </c>
      <c r="O130" s="9" t="s">
        <v>615</v>
      </c>
    </row>
    <row r="131" customFormat="false" ht="35.05" hidden="false" customHeight="false" outlineLevel="0" collapsed="false">
      <c r="A131" s="9" t="n">
        <v>127</v>
      </c>
      <c r="B131" s="9" t="s">
        <v>598</v>
      </c>
      <c r="C131" s="9" t="s">
        <v>613</v>
      </c>
      <c r="D131" s="14" t="n">
        <v>6.9</v>
      </c>
      <c r="E131" s="9" t="s">
        <v>83</v>
      </c>
      <c r="F131" s="11" t="s">
        <v>107</v>
      </c>
      <c r="G131" s="9" t="s">
        <v>61</v>
      </c>
      <c r="H131" s="9" t="s">
        <v>250</v>
      </c>
      <c r="I131" s="9" t="s">
        <v>417</v>
      </c>
      <c r="J131" s="9" t="s">
        <v>418</v>
      </c>
      <c r="K131" s="9" t="s">
        <v>419</v>
      </c>
      <c r="L131" s="9" t="s">
        <v>136</v>
      </c>
      <c r="M131" s="9" t="s">
        <v>32</v>
      </c>
      <c r="N131" s="12" t="s">
        <v>420</v>
      </c>
      <c r="O131" s="9" t="s">
        <v>615</v>
      </c>
    </row>
    <row r="132" customFormat="false" ht="35.05" hidden="false" customHeight="false" outlineLevel="0" collapsed="false">
      <c r="A132" s="9" t="n">
        <v>128</v>
      </c>
      <c r="B132" s="9" t="s">
        <v>598</v>
      </c>
      <c r="C132" s="9" t="s">
        <v>613</v>
      </c>
      <c r="D132" s="14" t="n">
        <v>7.4</v>
      </c>
      <c r="E132" s="9" t="s">
        <v>83</v>
      </c>
      <c r="F132" s="11" t="s">
        <v>326</v>
      </c>
      <c r="G132" s="9" t="s">
        <v>61</v>
      </c>
      <c r="H132" s="9" t="s">
        <v>250</v>
      </c>
      <c r="I132" s="9" t="s">
        <v>417</v>
      </c>
      <c r="J132" s="9" t="s">
        <v>418</v>
      </c>
      <c r="K132" s="9" t="s">
        <v>419</v>
      </c>
      <c r="L132" s="9" t="s">
        <v>136</v>
      </c>
      <c r="M132" s="9" t="s">
        <v>32</v>
      </c>
      <c r="N132" s="12" t="s">
        <v>420</v>
      </c>
      <c r="O132" s="9" t="s">
        <v>615</v>
      </c>
    </row>
    <row r="133" customFormat="false" ht="35.05" hidden="false" customHeight="false" outlineLevel="0" collapsed="false">
      <c r="A133" s="9" t="n">
        <v>129</v>
      </c>
      <c r="B133" s="9" t="s">
        <v>598</v>
      </c>
      <c r="C133" s="9" t="s">
        <v>613</v>
      </c>
      <c r="D133" s="14" t="n">
        <v>8.1</v>
      </c>
      <c r="E133" s="9" t="s">
        <v>83</v>
      </c>
      <c r="F133" s="11" t="s">
        <v>148</v>
      </c>
      <c r="G133" s="9" t="s">
        <v>61</v>
      </c>
      <c r="H133" s="9" t="s">
        <v>250</v>
      </c>
      <c r="I133" s="9" t="s">
        <v>417</v>
      </c>
      <c r="J133" s="9" t="s">
        <v>418</v>
      </c>
      <c r="K133" s="9" t="s">
        <v>419</v>
      </c>
      <c r="L133" s="9" t="s">
        <v>136</v>
      </c>
      <c r="M133" s="9" t="s">
        <v>32</v>
      </c>
      <c r="N133" s="12" t="s">
        <v>420</v>
      </c>
      <c r="O133" s="9" t="s">
        <v>615</v>
      </c>
    </row>
    <row r="134" customFormat="false" ht="35.05" hidden="false" customHeight="false" outlineLevel="0" collapsed="false">
      <c r="A134" s="9" t="n">
        <v>130</v>
      </c>
      <c r="B134" s="9" t="s">
        <v>598</v>
      </c>
      <c r="C134" s="9" t="s">
        <v>613</v>
      </c>
      <c r="D134" s="14" t="n">
        <v>8.4</v>
      </c>
      <c r="E134" s="9" t="s">
        <v>83</v>
      </c>
      <c r="F134" s="11" t="s">
        <v>297</v>
      </c>
      <c r="G134" s="9" t="s">
        <v>61</v>
      </c>
      <c r="H134" s="9" t="s">
        <v>250</v>
      </c>
      <c r="I134" s="9" t="s">
        <v>417</v>
      </c>
      <c r="J134" s="9" t="s">
        <v>418</v>
      </c>
      <c r="K134" s="9" t="s">
        <v>419</v>
      </c>
      <c r="L134" s="9" t="s">
        <v>136</v>
      </c>
      <c r="M134" s="9" t="s">
        <v>32</v>
      </c>
      <c r="N134" s="12" t="s">
        <v>420</v>
      </c>
      <c r="O134" s="9" t="s">
        <v>615</v>
      </c>
    </row>
    <row r="135" customFormat="false" ht="35.05" hidden="false" customHeight="false" outlineLevel="0" collapsed="false">
      <c r="A135" s="9" t="n">
        <v>131</v>
      </c>
      <c r="B135" s="9" t="s">
        <v>598</v>
      </c>
      <c r="C135" s="9" t="s">
        <v>613</v>
      </c>
      <c r="D135" s="14" t="n">
        <v>8.5</v>
      </c>
      <c r="E135" s="9" t="s">
        <v>83</v>
      </c>
      <c r="F135" s="11" t="s">
        <v>301</v>
      </c>
      <c r="G135" s="9" t="s">
        <v>61</v>
      </c>
      <c r="H135" s="9" t="s">
        <v>616</v>
      </c>
      <c r="I135" s="9" t="s">
        <v>417</v>
      </c>
      <c r="J135" s="9" t="s">
        <v>418</v>
      </c>
      <c r="K135" s="9" t="s">
        <v>419</v>
      </c>
      <c r="L135" s="9" t="s">
        <v>136</v>
      </c>
      <c r="M135" s="9" t="s">
        <v>32</v>
      </c>
      <c r="N135" s="12" t="s">
        <v>420</v>
      </c>
      <c r="O135" s="9" t="s">
        <v>615</v>
      </c>
    </row>
    <row r="136" customFormat="false" ht="23.85" hidden="false" customHeight="false" outlineLevel="0" collapsed="false">
      <c r="A136" s="9" t="n">
        <v>132</v>
      </c>
      <c r="B136" s="9" t="s">
        <v>598</v>
      </c>
      <c r="C136" s="9" t="s">
        <v>617</v>
      </c>
      <c r="D136" s="10" t="n">
        <v>437</v>
      </c>
      <c r="E136" s="9" t="s">
        <v>618</v>
      </c>
      <c r="F136" s="11" t="s">
        <v>301</v>
      </c>
      <c r="G136" s="9" t="s">
        <v>75</v>
      </c>
      <c r="H136" s="9" t="s">
        <v>619</v>
      </c>
      <c r="I136" s="9" t="s">
        <v>417</v>
      </c>
      <c r="J136" s="9" t="s">
        <v>418</v>
      </c>
      <c r="K136" s="9" t="s">
        <v>419</v>
      </c>
      <c r="L136" s="9" t="s">
        <v>136</v>
      </c>
      <c r="M136" s="9" t="s">
        <v>28</v>
      </c>
      <c r="N136" s="12" t="s">
        <v>420</v>
      </c>
      <c r="O136" s="9"/>
    </row>
    <row r="137" customFormat="false" ht="23.85" hidden="false" customHeight="false" outlineLevel="0" collapsed="false">
      <c r="A137" s="9" t="n">
        <v>133</v>
      </c>
      <c r="B137" s="9" t="s">
        <v>598</v>
      </c>
      <c r="C137" s="9" t="s">
        <v>620</v>
      </c>
      <c r="D137" s="10" t="n">
        <v>56</v>
      </c>
      <c r="E137" s="9" t="s">
        <v>83</v>
      </c>
      <c r="F137" s="11" t="s">
        <v>301</v>
      </c>
      <c r="G137" s="9" t="s">
        <v>75</v>
      </c>
      <c r="H137" s="9" t="s">
        <v>621</v>
      </c>
      <c r="I137" s="9" t="s">
        <v>417</v>
      </c>
      <c r="J137" s="9" t="s">
        <v>418</v>
      </c>
      <c r="K137" s="9" t="s">
        <v>419</v>
      </c>
      <c r="L137" s="9" t="s">
        <v>136</v>
      </c>
      <c r="M137" s="9" t="s">
        <v>28</v>
      </c>
      <c r="N137" s="12" t="s">
        <v>420</v>
      </c>
      <c r="O137" s="9"/>
    </row>
    <row r="138" customFormat="false" ht="23.85" hidden="false" customHeight="false" outlineLevel="0" collapsed="false">
      <c r="A138" s="9" t="n">
        <v>134</v>
      </c>
      <c r="B138" s="9" t="s">
        <v>598</v>
      </c>
      <c r="C138" s="9" t="s">
        <v>622</v>
      </c>
      <c r="D138" s="10" t="n">
        <v>65</v>
      </c>
      <c r="E138" s="9" t="s">
        <v>83</v>
      </c>
      <c r="F138" s="11" t="s">
        <v>301</v>
      </c>
      <c r="G138" s="9" t="s">
        <v>75</v>
      </c>
      <c r="H138" s="9" t="s">
        <v>623</v>
      </c>
      <c r="I138" s="9" t="s">
        <v>417</v>
      </c>
      <c r="J138" s="9" t="s">
        <v>418</v>
      </c>
      <c r="K138" s="9" t="s">
        <v>419</v>
      </c>
      <c r="L138" s="9" t="s">
        <v>136</v>
      </c>
      <c r="M138" s="9" t="s">
        <v>28</v>
      </c>
      <c r="N138" s="12" t="s">
        <v>420</v>
      </c>
      <c r="O138" s="9" t="s">
        <v>624</v>
      </c>
    </row>
    <row r="139" customFormat="false" ht="23.85" hidden="false" customHeight="false" outlineLevel="0" collapsed="false">
      <c r="A139" s="9" t="n">
        <v>135</v>
      </c>
      <c r="B139" s="9" t="s">
        <v>598</v>
      </c>
      <c r="C139" s="9" t="s">
        <v>625</v>
      </c>
      <c r="D139" s="10" t="n">
        <v>93</v>
      </c>
      <c r="E139" s="9" t="s">
        <v>83</v>
      </c>
      <c r="F139" s="11" t="s">
        <v>626</v>
      </c>
      <c r="G139" s="9" t="s">
        <v>627</v>
      </c>
      <c r="H139" s="9" t="s">
        <v>628</v>
      </c>
      <c r="I139" s="9" t="s">
        <v>417</v>
      </c>
      <c r="J139" s="9" t="s">
        <v>418</v>
      </c>
      <c r="K139" s="9" t="s">
        <v>419</v>
      </c>
      <c r="L139" s="9" t="s">
        <v>136</v>
      </c>
      <c r="M139" s="9" t="s">
        <v>28</v>
      </c>
      <c r="N139" s="12" t="s">
        <v>420</v>
      </c>
      <c r="O139" s="9" t="s">
        <v>629</v>
      </c>
    </row>
    <row r="140" customFormat="false" ht="23.85" hidden="false" customHeight="false" outlineLevel="0" collapsed="false">
      <c r="A140" s="9" t="n">
        <v>136</v>
      </c>
      <c r="B140" s="9" t="s">
        <v>598</v>
      </c>
      <c r="C140" s="9" t="s">
        <v>630</v>
      </c>
      <c r="D140" s="10" t="n">
        <v>3838</v>
      </c>
      <c r="E140" s="9" t="s">
        <v>592</v>
      </c>
      <c r="F140" s="11" t="s">
        <v>297</v>
      </c>
      <c r="G140" s="9" t="s">
        <v>61</v>
      </c>
      <c r="H140" s="9" t="s">
        <v>631</v>
      </c>
      <c r="I140" s="9" t="s">
        <v>417</v>
      </c>
      <c r="J140" s="9" t="s">
        <v>418</v>
      </c>
      <c r="K140" s="9" t="s">
        <v>419</v>
      </c>
      <c r="L140" s="9" t="s">
        <v>136</v>
      </c>
      <c r="M140" s="9" t="s">
        <v>28</v>
      </c>
      <c r="N140" s="12" t="s">
        <v>420</v>
      </c>
      <c r="O140" s="9" t="s">
        <v>632</v>
      </c>
    </row>
    <row r="141" customFormat="false" ht="23.85" hidden="false" customHeight="false" outlineLevel="0" collapsed="false">
      <c r="A141" s="9" t="n">
        <v>137</v>
      </c>
      <c r="B141" s="9" t="s">
        <v>633</v>
      </c>
      <c r="C141" s="9" t="s">
        <v>634</v>
      </c>
      <c r="D141" s="10" t="n">
        <v>222</v>
      </c>
      <c r="E141" s="9" t="s">
        <v>635</v>
      </c>
      <c r="F141" s="11" t="s">
        <v>636</v>
      </c>
      <c r="G141" s="9" t="s">
        <v>61</v>
      </c>
      <c r="H141" s="9" t="s">
        <v>637</v>
      </c>
      <c r="I141" s="9" t="s">
        <v>638</v>
      </c>
      <c r="J141" s="9" t="s">
        <v>639</v>
      </c>
      <c r="K141" s="9" t="s">
        <v>297</v>
      </c>
      <c r="L141" s="9" t="s">
        <v>66</v>
      </c>
      <c r="M141" s="9" t="s">
        <v>28</v>
      </c>
      <c r="N141" s="12" t="s">
        <v>640</v>
      </c>
      <c r="O141" s="9" t="s">
        <v>641</v>
      </c>
    </row>
    <row r="142" customFormat="false" ht="23.85" hidden="false" customHeight="false" outlineLevel="0" collapsed="false">
      <c r="A142" s="9" t="n">
        <v>138</v>
      </c>
      <c r="B142" s="9" t="s">
        <v>633</v>
      </c>
      <c r="C142" s="9" t="s">
        <v>642</v>
      </c>
      <c r="D142" s="10" t="n">
        <v>244</v>
      </c>
      <c r="E142" s="9" t="s">
        <v>643</v>
      </c>
      <c r="F142" s="11" t="s">
        <v>297</v>
      </c>
      <c r="G142" s="9" t="s">
        <v>644</v>
      </c>
      <c r="H142" s="9"/>
      <c r="I142" s="9" t="s">
        <v>638</v>
      </c>
      <c r="J142" s="9" t="s">
        <v>639</v>
      </c>
      <c r="K142" s="9" t="s">
        <v>297</v>
      </c>
      <c r="L142" s="9" t="s">
        <v>66</v>
      </c>
      <c r="M142" s="9" t="s">
        <v>28</v>
      </c>
      <c r="N142" s="12" t="s">
        <v>640</v>
      </c>
      <c r="O142" s="9"/>
    </row>
    <row r="143" customFormat="false" ht="23.85" hidden="false" customHeight="false" outlineLevel="0" collapsed="false">
      <c r="A143" s="9" t="n">
        <v>139</v>
      </c>
      <c r="B143" s="9" t="s">
        <v>633</v>
      </c>
      <c r="C143" s="9" t="s">
        <v>645</v>
      </c>
      <c r="D143" s="10" t="n">
        <v>5</v>
      </c>
      <c r="E143" s="9" t="s">
        <v>646</v>
      </c>
      <c r="F143" s="11" t="s">
        <v>647</v>
      </c>
      <c r="G143" s="9" t="s">
        <v>287</v>
      </c>
      <c r="H143" s="9" t="s">
        <v>648</v>
      </c>
      <c r="I143" s="9" t="s">
        <v>649</v>
      </c>
      <c r="J143" s="9" t="s">
        <v>650</v>
      </c>
      <c r="K143" s="9" t="s">
        <v>84</v>
      </c>
      <c r="L143" s="9" t="s">
        <v>66</v>
      </c>
      <c r="M143" s="9" t="s">
        <v>28</v>
      </c>
      <c r="N143" s="12" t="s">
        <v>651</v>
      </c>
      <c r="O143" s="9" t="s">
        <v>652</v>
      </c>
    </row>
    <row r="144" customFormat="false" ht="23.85" hidden="false" customHeight="false" outlineLevel="0" collapsed="false">
      <c r="A144" s="9" t="n">
        <v>140</v>
      </c>
      <c r="B144" s="9" t="s">
        <v>633</v>
      </c>
      <c r="C144" s="9" t="s">
        <v>653</v>
      </c>
      <c r="D144" s="10" t="n">
        <v>5</v>
      </c>
      <c r="E144" s="9" t="s">
        <v>646</v>
      </c>
      <c r="F144" s="11" t="s">
        <v>654</v>
      </c>
      <c r="G144" s="9" t="s">
        <v>287</v>
      </c>
      <c r="H144" s="9" t="s">
        <v>655</v>
      </c>
      <c r="I144" s="9" t="s">
        <v>649</v>
      </c>
      <c r="J144" s="9" t="s">
        <v>650</v>
      </c>
      <c r="K144" s="9" t="s">
        <v>84</v>
      </c>
      <c r="L144" s="9" t="s">
        <v>66</v>
      </c>
      <c r="M144" s="9" t="s">
        <v>28</v>
      </c>
      <c r="N144" s="12" t="s">
        <v>651</v>
      </c>
      <c r="O144" s="9"/>
    </row>
    <row r="145" customFormat="false" ht="23.85" hidden="false" customHeight="false" outlineLevel="0" collapsed="false">
      <c r="A145" s="9" t="n">
        <v>141</v>
      </c>
      <c r="B145" s="9" t="s">
        <v>633</v>
      </c>
      <c r="C145" s="9" t="s">
        <v>656</v>
      </c>
      <c r="D145" s="10" t="n">
        <v>29000</v>
      </c>
      <c r="E145" s="9" t="s">
        <v>657</v>
      </c>
      <c r="F145" s="11" t="s">
        <v>658</v>
      </c>
      <c r="G145" s="9" t="s">
        <v>287</v>
      </c>
      <c r="H145" s="9" t="s">
        <v>659</v>
      </c>
      <c r="I145" s="9" t="s">
        <v>638</v>
      </c>
      <c r="J145" s="9" t="s">
        <v>639</v>
      </c>
      <c r="K145" s="9" t="s">
        <v>297</v>
      </c>
      <c r="L145" s="9" t="s">
        <v>66</v>
      </c>
      <c r="M145" s="9" t="s">
        <v>34</v>
      </c>
      <c r="N145" s="12" t="s">
        <v>640</v>
      </c>
      <c r="O145" s="9" t="s">
        <v>434</v>
      </c>
    </row>
    <row r="146" customFormat="false" ht="35.05" hidden="false" customHeight="false" outlineLevel="0" collapsed="false">
      <c r="A146" s="9" t="n">
        <v>142</v>
      </c>
      <c r="B146" s="9" t="s">
        <v>633</v>
      </c>
      <c r="C146" s="9" t="s">
        <v>660</v>
      </c>
      <c r="D146" s="10" t="n">
        <v>15</v>
      </c>
      <c r="E146" s="9" t="s">
        <v>83</v>
      </c>
      <c r="F146" s="11" t="s">
        <v>388</v>
      </c>
      <c r="G146" s="9" t="s">
        <v>287</v>
      </c>
      <c r="H146" s="9" t="s">
        <v>661</v>
      </c>
      <c r="I146" s="9" t="s">
        <v>662</v>
      </c>
      <c r="J146" s="9" t="s">
        <v>663</v>
      </c>
      <c r="K146" s="9" t="s">
        <v>664</v>
      </c>
      <c r="L146" s="9" t="s">
        <v>164</v>
      </c>
      <c r="M146" s="9" t="s">
        <v>34</v>
      </c>
      <c r="N146" s="12" t="s">
        <v>665</v>
      </c>
      <c r="O146" s="9" t="s">
        <v>666</v>
      </c>
    </row>
    <row r="147" customFormat="false" ht="35.05" hidden="false" customHeight="false" outlineLevel="0" collapsed="false">
      <c r="A147" s="9" t="n">
        <v>143</v>
      </c>
      <c r="B147" s="9" t="s">
        <v>633</v>
      </c>
      <c r="C147" s="9" t="s">
        <v>667</v>
      </c>
      <c r="D147" s="10" t="n">
        <v>14</v>
      </c>
      <c r="E147" s="9" t="s">
        <v>83</v>
      </c>
      <c r="F147" s="11" t="s">
        <v>668</v>
      </c>
      <c r="G147" s="9" t="s">
        <v>287</v>
      </c>
      <c r="H147" s="9" t="s">
        <v>669</v>
      </c>
      <c r="I147" s="9" t="s">
        <v>662</v>
      </c>
      <c r="J147" s="9" t="s">
        <v>663</v>
      </c>
      <c r="K147" s="9" t="s">
        <v>664</v>
      </c>
      <c r="L147" s="9" t="s">
        <v>164</v>
      </c>
      <c r="M147" s="9" t="s">
        <v>34</v>
      </c>
      <c r="N147" s="12" t="s">
        <v>665</v>
      </c>
      <c r="O147" s="9" t="s">
        <v>666</v>
      </c>
    </row>
    <row r="148" customFormat="false" ht="46.25" hidden="false" customHeight="false" outlineLevel="0" collapsed="false">
      <c r="A148" s="9" t="n">
        <v>144</v>
      </c>
      <c r="B148" s="9" t="s">
        <v>633</v>
      </c>
      <c r="C148" s="9" t="s">
        <v>670</v>
      </c>
      <c r="D148" s="10" t="n">
        <v>10100</v>
      </c>
      <c r="E148" s="9" t="s">
        <v>671</v>
      </c>
      <c r="F148" s="11" t="s">
        <v>672</v>
      </c>
      <c r="G148" s="9" t="s">
        <v>287</v>
      </c>
      <c r="H148" s="9" t="s">
        <v>673</v>
      </c>
      <c r="I148" s="9" t="s">
        <v>162</v>
      </c>
      <c r="J148" s="9" t="s">
        <v>163</v>
      </c>
      <c r="K148" s="9" t="s">
        <v>107</v>
      </c>
      <c r="L148" s="9" t="s">
        <v>164</v>
      </c>
      <c r="M148" s="9" t="s">
        <v>28</v>
      </c>
      <c r="N148" s="12" t="s">
        <v>165</v>
      </c>
      <c r="O148" s="9" t="s">
        <v>289</v>
      </c>
    </row>
    <row r="149" customFormat="false" ht="35.05" hidden="false" customHeight="false" outlineLevel="0" collapsed="false">
      <c r="A149" s="9" t="n">
        <v>145</v>
      </c>
      <c r="B149" s="9" t="s">
        <v>633</v>
      </c>
      <c r="C149" s="9" t="s">
        <v>674</v>
      </c>
      <c r="D149" s="10" t="n">
        <v>1646</v>
      </c>
      <c r="E149" s="9" t="s">
        <v>643</v>
      </c>
      <c r="F149" s="11" t="s">
        <v>675</v>
      </c>
      <c r="G149" s="9" t="s">
        <v>676</v>
      </c>
      <c r="H149" s="9" t="s">
        <v>677</v>
      </c>
      <c r="I149" s="9" t="s">
        <v>678</v>
      </c>
      <c r="J149" s="9" t="s">
        <v>679</v>
      </c>
      <c r="K149" s="9" t="s">
        <v>680</v>
      </c>
      <c r="L149" s="9" t="s">
        <v>66</v>
      </c>
      <c r="M149" s="9" t="s">
        <v>34</v>
      </c>
      <c r="N149" s="12" t="s">
        <v>681</v>
      </c>
      <c r="O149" s="9" t="s">
        <v>682</v>
      </c>
    </row>
    <row r="150" customFormat="false" ht="35.05" hidden="false" customHeight="false" outlineLevel="0" collapsed="false">
      <c r="A150" s="9" t="n">
        <v>146</v>
      </c>
      <c r="B150" s="9" t="s">
        <v>633</v>
      </c>
      <c r="C150" s="9" t="s">
        <v>683</v>
      </c>
      <c r="D150" s="14" t="n">
        <v>3.7</v>
      </c>
      <c r="E150" s="9" t="s">
        <v>646</v>
      </c>
      <c r="F150" s="11" t="s">
        <v>684</v>
      </c>
      <c r="G150" s="9" t="s">
        <v>685</v>
      </c>
      <c r="H150" s="9" t="s">
        <v>686</v>
      </c>
      <c r="I150" s="9" t="s">
        <v>678</v>
      </c>
      <c r="J150" s="9" t="s">
        <v>679</v>
      </c>
      <c r="K150" s="9" t="s">
        <v>680</v>
      </c>
      <c r="L150" s="9" t="s">
        <v>66</v>
      </c>
      <c r="M150" s="9" t="s">
        <v>34</v>
      </c>
      <c r="N150" s="12" t="s">
        <v>681</v>
      </c>
      <c r="O150" s="9" t="s">
        <v>682</v>
      </c>
    </row>
    <row r="151" customFormat="false" ht="23.85" hidden="false" customHeight="false" outlineLevel="0" collapsed="false">
      <c r="A151" s="9" t="n">
        <v>147</v>
      </c>
      <c r="B151" s="9" t="s">
        <v>633</v>
      </c>
      <c r="C151" s="9" t="s">
        <v>687</v>
      </c>
      <c r="D151" s="14" t="n">
        <v>1.1</v>
      </c>
      <c r="E151" s="9" t="s">
        <v>688</v>
      </c>
      <c r="F151" s="11" t="s">
        <v>689</v>
      </c>
      <c r="G151" s="9" t="s">
        <v>685</v>
      </c>
      <c r="H151" s="9" t="s">
        <v>690</v>
      </c>
      <c r="I151" s="9" t="s">
        <v>678</v>
      </c>
      <c r="J151" s="9" t="s">
        <v>679</v>
      </c>
      <c r="K151" s="9" t="s">
        <v>680</v>
      </c>
      <c r="L151" s="9" t="s">
        <v>66</v>
      </c>
      <c r="M151" s="9" t="s">
        <v>28</v>
      </c>
      <c r="N151" s="12" t="s">
        <v>681</v>
      </c>
      <c r="O151" s="9" t="s">
        <v>691</v>
      </c>
    </row>
    <row r="152" customFormat="false" ht="35.05" hidden="false" customHeight="false" outlineLevel="0" collapsed="false">
      <c r="A152" s="9" t="n">
        <v>148</v>
      </c>
      <c r="B152" s="9" t="s">
        <v>633</v>
      </c>
      <c r="C152" s="9" t="s">
        <v>692</v>
      </c>
      <c r="D152" s="10" t="n">
        <v>1</v>
      </c>
      <c r="E152" s="9" t="s">
        <v>688</v>
      </c>
      <c r="F152" s="11" t="s">
        <v>140</v>
      </c>
      <c r="G152" s="9" t="s">
        <v>61</v>
      </c>
      <c r="H152" s="9" t="s">
        <v>693</v>
      </c>
      <c r="I152" s="9" t="s">
        <v>694</v>
      </c>
      <c r="J152" s="9" t="s">
        <v>695</v>
      </c>
      <c r="K152" s="9" t="s">
        <v>696</v>
      </c>
      <c r="L152" s="9" t="s">
        <v>66</v>
      </c>
      <c r="M152" s="9" t="s">
        <v>28</v>
      </c>
      <c r="N152" s="12" t="s">
        <v>697</v>
      </c>
      <c r="O152" s="9"/>
    </row>
    <row r="153" customFormat="false" ht="35.05" hidden="false" customHeight="false" outlineLevel="0" collapsed="false">
      <c r="A153" s="9" t="n">
        <v>149</v>
      </c>
      <c r="B153" s="9" t="s">
        <v>633</v>
      </c>
      <c r="C153" s="9" t="s">
        <v>698</v>
      </c>
      <c r="D153" s="10" t="n">
        <v>6000</v>
      </c>
      <c r="E153" s="9" t="s">
        <v>699</v>
      </c>
      <c r="F153" s="11" t="s">
        <v>140</v>
      </c>
      <c r="G153" s="9" t="s">
        <v>61</v>
      </c>
      <c r="H153" s="9" t="s">
        <v>700</v>
      </c>
      <c r="I153" s="9" t="s">
        <v>694</v>
      </c>
      <c r="J153" s="9" t="s">
        <v>695</v>
      </c>
      <c r="K153" s="9" t="s">
        <v>696</v>
      </c>
      <c r="L153" s="9" t="s">
        <v>66</v>
      </c>
      <c r="M153" s="9" t="s">
        <v>28</v>
      </c>
      <c r="N153" s="12" t="s">
        <v>697</v>
      </c>
      <c r="O153" s="9"/>
    </row>
    <row r="154" customFormat="false" ht="35.05" hidden="false" customHeight="false" outlineLevel="0" collapsed="false">
      <c r="A154" s="9" t="n">
        <v>150</v>
      </c>
      <c r="B154" s="9" t="s">
        <v>633</v>
      </c>
      <c r="C154" s="9" t="s">
        <v>701</v>
      </c>
      <c r="D154" s="10" t="n">
        <v>90</v>
      </c>
      <c r="E154" s="9" t="s">
        <v>618</v>
      </c>
      <c r="F154" s="11" t="s">
        <v>148</v>
      </c>
      <c r="G154" s="9" t="s">
        <v>61</v>
      </c>
      <c r="H154" s="9" t="s">
        <v>702</v>
      </c>
      <c r="I154" s="9" t="s">
        <v>703</v>
      </c>
      <c r="J154" s="9" t="s">
        <v>704</v>
      </c>
      <c r="K154" s="9" t="s">
        <v>705</v>
      </c>
      <c r="L154" s="9" t="s">
        <v>66</v>
      </c>
      <c r="M154" s="9" t="s">
        <v>36</v>
      </c>
      <c r="N154" s="12" t="s">
        <v>706</v>
      </c>
      <c r="O154" s="9" t="s">
        <v>707</v>
      </c>
    </row>
    <row r="155" customFormat="false" ht="35.05" hidden="false" customHeight="false" outlineLevel="0" collapsed="false">
      <c r="A155" s="9" t="n">
        <v>151</v>
      </c>
      <c r="B155" s="9" t="s">
        <v>633</v>
      </c>
      <c r="C155" s="9" t="s">
        <v>708</v>
      </c>
      <c r="D155" s="10" t="n">
        <v>74</v>
      </c>
      <c r="E155" s="9" t="s">
        <v>709</v>
      </c>
      <c r="F155" s="11" t="s">
        <v>710</v>
      </c>
      <c r="G155" s="9" t="s">
        <v>61</v>
      </c>
      <c r="H155" s="9" t="s">
        <v>711</v>
      </c>
      <c r="I155" s="9" t="s">
        <v>703</v>
      </c>
      <c r="J155" s="9" t="s">
        <v>704</v>
      </c>
      <c r="K155" s="9" t="s">
        <v>705</v>
      </c>
      <c r="L155" s="9" t="s">
        <v>66</v>
      </c>
      <c r="M155" s="9" t="s">
        <v>28</v>
      </c>
      <c r="N155" s="12" t="s">
        <v>706</v>
      </c>
      <c r="O155" s="9" t="s">
        <v>712</v>
      </c>
    </row>
    <row r="156" customFormat="false" ht="35.05" hidden="false" customHeight="false" outlineLevel="0" collapsed="false">
      <c r="A156" s="9" t="n">
        <v>152</v>
      </c>
      <c r="B156" s="9" t="s">
        <v>633</v>
      </c>
      <c r="C156" s="9" t="s">
        <v>713</v>
      </c>
      <c r="D156" s="10" t="n">
        <v>500</v>
      </c>
      <c r="E156" s="9" t="s">
        <v>714</v>
      </c>
      <c r="F156" s="11" t="s">
        <v>647</v>
      </c>
      <c r="G156" s="9" t="s">
        <v>61</v>
      </c>
      <c r="H156" s="9" t="s">
        <v>715</v>
      </c>
      <c r="I156" s="9" t="s">
        <v>227</v>
      </c>
      <c r="J156" s="9" t="s">
        <v>228</v>
      </c>
      <c r="K156" s="9" t="s">
        <v>229</v>
      </c>
      <c r="L156" s="9" t="s">
        <v>164</v>
      </c>
      <c r="M156" s="9" t="s">
        <v>28</v>
      </c>
      <c r="N156" s="12" t="s">
        <v>230</v>
      </c>
      <c r="O156" s="9" t="s">
        <v>716</v>
      </c>
    </row>
    <row r="157" customFormat="false" ht="35.05" hidden="false" customHeight="false" outlineLevel="0" collapsed="false">
      <c r="A157" s="9" t="n">
        <v>153</v>
      </c>
      <c r="B157" s="9" t="s">
        <v>633</v>
      </c>
      <c r="C157" s="9" t="s">
        <v>717</v>
      </c>
      <c r="D157" s="10" t="n">
        <v>16</v>
      </c>
      <c r="E157" s="9" t="s">
        <v>718</v>
      </c>
      <c r="F157" s="11" t="s">
        <v>343</v>
      </c>
      <c r="G157" s="9" t="s">
        <v>61</v>
      </c>
      <c r="H157" s="9" t="s">
        <v>719</v>
      </c>
      <c r="I157" s="9" t="s">
        <v>227</v>
      </c>
      <c r="J157" s="9" t="s">
        <v>228</v>
      </c>
      <c r="K157" s="9" t="s">
        <v>229</v>
      </c>
      <c r="L157" s="9" t="s">
        <v>164</v>
      </c>
      <c r="M157" s="9" t="s">
        <v>28</v>
      </c>
      <c r="N157" s="12" t="s">
        <v>230</v>
      </c>
      <c r="O157" s="9" t="s">
        <v>720</v>
      </c>
    </row>
    <row r="158" customFormat="false" ht="35.05" hidden="false" customHeight="false" outlineLevel="0" collapsed="false">
      <c r="A158" s="9" t="n">
        <v>154</v>
      </c>
      <c r="B158" s="9" t="s">
        <v>633</v>
      </c>
      <c r="C158" s="9" t="s">
        <v>721</v>
      </c>
      <c r="D158" s="10" t="n">
        <v>9758</v>
      </c>
      <c r="E158" s="9" t="s">
        <v>699</v>
      </c>
      <c r="F158" s="11" t="s">
        <v>668</v>
      </c>
      <c r="G158" s="9" t="s">
        <v>722</v>
      </c>
      <c r="H158" s="9" t="s">
        <v>723</v>
      </c>
      <c r="I158" s="9" t="s">
        <v>227</v>
      </c>
      <c r="J158" s="9" t="s">
        <v>228</v>
      </c>
      <c r="K158" s="9" t="s">
        <v>229</v>
      </c>
      <c r="L158" s="9" t="s">
        <v>164</v>
      </c>
      <c r="M158" s="9" t="s">
        <v>28</v>
      </c>
      <c r="N158" s="12" t="s">
        <v>230</v>
      </c>
      <c r="O158" s="9" t="s">
        <v>724</v>
      </c>
    </row>
    <row r="159" customFormat="false" ht="35.05" hidden="false" customHeight="false" outlineLevel="0" collapsed="false">
      <c r="A159" s="9" t="n">
        <v>155</v>
      </c>
      <c r="B159" s="9" t="s">
        <v>633</v>
      </c>
      <c r="C159" s="9" t="s">
        <v>725</v>
      </c>
      <c r="D159" s="10" t="n">
        <v>112580</v>
      </c>
      <c r="E159" s="9" t="s">
        <v>726</v>
      </c>
      <c r="F159" s="11" t="s">
        <v>727</v>
      </c>
      <c r="G159" s="9" t="s">
        <v>61</v>
      </c>
      <c r="H159" s="9" t="s">
        <v>728</v>
      </c>
      <c r="I159" s="9" t="s">
        <v>227</v>
      </c>
      <c r="J159" s="9" t="s">
        <v>228</v>
      </c>
      <c r="K159" s="9" t="s">
        <v>229</v>
      </c>
      <c r="L159" s="9" t="s">
        <v>164</v>
      </c>
      <c r="M159" s="9" t="s">
        <v>28</v>
      </c>
      <c r="N159" s="12" t="s">
        <v>230</v>
      </c>
      <c r="O159" s="9" t="s">
        <v>729</v>
      </c>
    </row>
    <row r="160" customFormat="false" ht="35.05" hidden="false" customHeight="false" outlineLevel="0" collapsed="false">
      <c r="A160" s="9" t="n">
        <v>156</v>
      </c>
      <c r="B160" s="9" t="s">
        <v>633</v>
      </c>
      <c r="C160" s="9" t="s">
        <v>730</v>
      </c>
      <c r="D160" s="10" t="n">
        <v>63</v>
      </c>
      <c r="E160" s="9" t="s">
        <v>731</v>
      </c>
      <c r="F160" s="11" t="s">
        <v>732</v>
      </c>
      <c r="G160" s="9" t="s">
        <v>61</v>
      </c>
      <c r="H160" s="9" t="s">
        <v>733</v>
      </c>
      <c r="I160" s="9" t="s">
        <v>227</v>
      </c>
      <c r="J160" s="9" t="s">
        <v>228</v>
      </c>
      <c r="K160" s="9" t="s">
        <v>229</v>
      </c>
      <c r="L160" s="9" t="s">
        <v>164</v>
      </c>
      <c r="M160" s="9" t="s">
        <v>28</v>
      </c>
      <c r="N160" s="12" t="s">
        <v>230</v>
      </c>
      <c r="O160" s="9" t="s">
        <v>734</v>
      </c>
    </row>
    <row r="161" customFormat="false" ht="35.05" hidden="false" customHeight="false" outlineLevel="0" collapsed="false">
      <c r="A161" s="9" t="n">
        <v>157</v>
      </c>
      <c r="B161" s="9" t="s">
        <v>633</v>
      </c>
      <c r="C161" s="9" t="s">
        <v>735</v>
      </c>
      <c r="D161" s="10" t="n">
        <v>178</v>
      </c>
      <c r="E161" s="9" t="s">
        <v>718</v>
      </c>
      <c r="F161" s="11" t="s">
        <v>736</v>
      </c>
      <c r="G161" s="9" t="s">
        <v>61</v>
      </c>
      <c r="H161" s="9" t="s">
        <v>737</v>
      </c>
      <c r="I161" s="9" t="s">
        <v>227</v>
      </c>
      <c r="J161" s="9" t="s">
        <v>228</v>
      </c>
      <c r="K161" s="9" t="s">
        <v>229</v>
      </c>
      <c r="L161" s="9" t="s">
        <v>164</v>
      </c>
      <c r="M161" s="9" t="s">
        <v>28</v>
      </c>
      <c r="N161" s="12" t="s">
        <v>230</v>
      </c>
      <c r="O161" s="9" t="s">
        <v>734</v>
      </c>
    </row>
    <row r="162" customFormat="false" ht="35.05" hidden="false" customHeight="false" outlineLevel="0" collapsed="false">
      <c r="A162" s="9" t="n">
        <v>158</v>
      </c>
      <c r="B162" s="9" t="s">
        <v>633</v>
      </c>
      <c r="C162" s="9" t="s">
        <v>738</v>
      </c>
      <c r="D162" s="10" t="n">
        <v>550</v>
      </c>
      <c r="E162" s="9" t="s">
        <v>739</v>
      </c>
      <c r="F162" s="11" t="s">
        <v>326</v>
      </c>
      <c r="G162" s="9" t="s">
        <v>436</v>
      </c>
      <c r="H162" s="9" t="s">
        <v>740</v>
      </c>
      <c r="I162" s="9" t="s">
        <v>227</v>
      </c>
      <c r="J162" s="9" t="s">
        <v>228</v>
      </c>
      <c r="K162" s="9" t="s">
        <v>229</v>
      </c>
      <c r="L162" s="9" t="s">
        <v>164</v>
      </c>
      <c r="M162" s="9" t="s">
        <v>28</v>
      </c>
      <c r="N162" s="12" t="s">
        <v>230</v>
      </c>
      <c r="O162" s="9" t="s">
        <v>741</v>
      </c>
    </row>
    <row r="163" customFormat="false" ht="35.05" hidden="false" customHeight="false" outlineLevel="0" collapsed="false">
      <c r="A163" s="9" t="n">
        <v>159</v>
      </c>
      <c r="B163" s="9" t="s">
        <v>633</v>
      </c>
      <c r="C163" s="9" t="s">
        <v>742</v>
      </c>
      <c r="D163" s="10" t="n">
        <v>24</v>
      </c>
      <c r="E163" s="9" t="s">
        <v>718</v>
      </c>
      <c r="F163" s="11" t="s">
        <v>326</v>
      </c>
      <c r="G163" s="9" t="s">
        <v>61</v>
      </c>
      <c r="H163" s="9" t="s">
        <v>743</v>
      </c>
      <c r="I163" s="9" t="s">
        <v>227</v>
      </c>
      <c r="J163" s="9" t="s">
        <v>228</v>
      </c>
      <c r="K163" s="9" t="s">
        <v>229</v>
      </c>
      <c r="L163" s="9" t="s">
        <v>164</v>
      </c>
      <c r="M163" s="9" t="s">
        <v>28</v>
      </c>
      <c r="N163" s="12" t="s">
        <v>230</v>
      </c>
      <c r="O163" s="9" t="s">
        <v>744</v>
      </c>
    </row>
    <row r="164" customFormat="false" ht="35.05" hidden="false" customHeight="false" outlineLevel="0" collapsed="false">
      <c r="A164" s="9" t="n">
        <v>160</v>
      </c>
      <c r="B164" s="9" t="s">
        <v>633</v>
      </c>
      <c r="C164" s="9" t="s">
        <v>745</v>
      </c>
      <c r="D164" s="10" t="n">
        <v>9</v>
      </c>
      <c r="E164" s="9" t="s">
        <v>746</v>
      </c>
      <c r="F164" s="11" t="s">
        <v>326</v>
      </c>
      <c r="G164" s="9" t="s">
        <v>61</v>
      </c>
      <c r="H164" s="9" t="s">
        <v>747</v>
      </c>
      <c r="I164" s="9" t="s">
        <v>227</v>
      </c>
      <c r="J164" s="9" t="s">
        <v>228</v>
      </c>
      <c r="K164" s="9" t="s">
        <v>229</v>
      </c>
      <c r="L164" s="9" t="s">
        <v>164</v>
      </c>
      <c r="M164" s="9" t="s">
        <v>28</v>
      </c>
      <c r="N164" s="12" t="s">
        <v>230</v>
      </c>
      <c r="O164" s="9" t="s">
        <v>748</v>
      </c>
    </row>
    <row r="165" customFormat="false" ht="46.25" hidden="false" customHeight="false" outlineLevel="0" collapsed="false">
      <c r="A165" s="9" t="n">
        <v>161</v>
      </c>
      <c r="B165" s="9" t="s">
        <v>633</v>
      </c>
      <c r="C165" s="9" t="s">
        <v>749</v>
      </c>
      <c r="D165" s="10" t="n">
        <v>30</v>
      </c>
      <c r="E165" s="9" t="s">
        <v>746</v>
      </c>
      <c r="F165" s="11" t="s">
        <v>297</v>
      </c>
      <c r="G165" s="9" t="s">
        <v>750</v>
      </c>
      <c r="H165" s="9" t="s">
        <v>751</v>
      </c>
      <c r="I165" s="9" t="s">
        <v>315</v>
      </c>
      <c r="J165" s="9" t="s">
        <v>316</v>
      </c>
      <c r="K165" s="9" t="s">
        <v>317</v>
      </c>
      <c r="L165" s="9" t="s">
        <v>164</v>
      </c>
      <c r="M165" s="9" t="s">
        <v>28</v>
      </c>
      <c r="N165" s="12" t="s">
        <v>318</v>
      </c>
      <c r="O165" s="9" t="s">
        <v>752</v>
      </c>
    </row>
    <row r="166" customFormat="false" ht="46.25" hidden="false" customHeight="false" outlineLevel="0" collapsed="false">
      <c r="A166" s="9" t="n">
        <v>162</v>
      </c>
      <c r="B166" s="9" t="s">
        <v>633</v>
      </c>
      <c r="C166" s="9" t="s">
        <v>753</v>
      </c>
      <c r="D166" s="10" t="n">
        <v>43</v>
      </c>
      <c r="E166" s="9" t="s">
        <v>754</v>
      </c>
      <c r="F166" s="11" t="s">
        <v>107</v>
      </c>
      <c r="G166" s="9" t="s">
        <v>61</v>
      </c>
      <c r="H166" s="9" t="s">
        <v>755</v>
      </c>
      <c r="I166" s="9" t="s">
        <v>162</v>
      </c>
      <c r="J166" s="9" t="s">
        <v>163</v>
      </c>
      <c r="K166" s="9" t="s">
        <v>107</v>
      </c>
      <c r="L166" s="9" t="s">
        <v>164</v>
      </c>
      <c r="M166" s="9" t="s">
        <v>32</v>
      </c>
      <c r="N166" s="12" t="s">
        <v>165</v>
      </c>
      <c r="O166" s="9" t="s">
        <v>756</v>
      </c>
    </row>
    <row r="167" customFormat="false" ht="35.05" hidden="false" customHeight="false" outlineLevel="0" collapsed="false">
      <c r="A167" s="9" t="n">
        <v>163</v>
      </c>
      <c r="B167" s="9" t="s">
        <v>757</v>
      </c>
      <c r="C167" s="9" t="s">
        <v>758</v>
      </c>
      <c r="D167" s="13" t="s">
        <v>759</v>
      </c>
      <c r="E167" s="9" t="s">
        <v>83</v>
      </c>
      <c r="F167" s="11" t="s">
        <v>760</v>
      </c>
      <c r="G167" s="9" t="s">
        <v>761</v>
      </c>
      <c r="H167" s="9" t="s">
        <v>762</v>
      </c>
      <c r="I167" s="9" t="s">
        <v>236</v>
      </c>
      <c r="J167" s="9" t="s">
        <v>237</v>
      </c>
      <c r="K167" s="9" t="s">
        <v>238</v>
      </c>
      <c r="L167" s="9" t="s">
        <v>239</v>
      </c>
      <c r="M167" s="9" t="s">
        <v>32</v>
      </c>
      <c r="N167" s="12" t="s">
        <v>240</v>
      </c>
      <c r="O167" s="9" t="s">
        <v>763</v>
      </c>
    </row>
    <row r="168" customFormat="false" ht="35.05" hidden="false" customHeight="false" outlineLevel="0" collapsed="false">
      <c r="A168" s="9" t="n">
        <v>164</v>
      </c>
      <c r="B168" s="9" t="s">
        <v>757</v>
      </c>
      <c r="C168" s="9" t="s">
        <v>764</v>
      </c>
      <c r="D168" s="10" t="n">
        <v>100</v>
      </c>
      <c r="E168" s="9" t="s">
        <v>671</v>
      </c>
      <c r="F168" s="11" t="s">
        <v>765</v>
      </c>
      <c r="G168" s="9" t="s">
        <v>766</v>
      </c>
      <c r="H168" s="9" t="s">
        <v>767</v>
      </c>
      <c r="I168" s="9" t="s">
        <v>236</v>
      </c>
      <c r="J168" s="9" t="s">
        <v>237</v>
      </c>
      <c r="K168" s="9" t="s">
        <v>238</v>
      </c>
      <c r="L168" s="9" t="s">
        <v>239</v>
      </c>
      <c r="M168" s="9" t="s">
        <v>32</v>
      </c>
      <c r="N168" s="12" t="s">
        <v>240</v>
      </c>
      <c r="O168" s="9" t="s">
        <v>768</v>
      </c>
    </row>
  </sheetData>
  <autoFilter ref="A4:O168"/>
  <dataValidations count="3">
    <dataValidation allowBlank="true" error="Choisir une valeur de la liste" errorStyle="stop" operator="between" showDropDown="false" showErrorMessage="false" showInputMessage="false" sqref="B5:B468" type="list">
      <formula1>Listes!$A$1:$A$11</formula1>
      <formula2>0</formula2>
    </dataValidation>
    <dataValidation allowBlank="true" error="Choisir une valeur de la liste" errorStyle="stop" operator="between" showDropDown="false" showErrorMessage="false" showInputMessage="false" sqref="L5:L468" type="list">
      <formula1>Listes!$B$1:$B$7</formula1>
      <formula2>0</formula2>
    </dataValidation>
    <dataValidation allowBlank="true" error="Choisir une valeur de la liste" errorStyle="stop" operator="between" showDropDown="false" showErrorMessage="false" showInputMessage="false" sqref="M5:M468" type="list">
      <formula1>Listes!$C$1:$C$5</formula1>
      <formula2>0</formula2>
    </dataValidation>
  </dataValidations>
  <hyperlinks>
    <hyperlink ref="N5" r:id="rId1" display="https://www.cerema.fr/fr/actualites/accompagner-mutation-zones-commerciales-peripherie"/>
    <hyperlink ref="N6" r:id="rId2" display="https://www.cerema.fr/fr/actualites/accompagner-mutation-zones-commerciales-peripherie"/>
    <hyperlink ref="N7" r:id="rId3" display="https://www.cerema.fr/fr/actualites/donnees-geolocalisation-1500-zones-commerciales-peripherie"/>
    <hyperlink ref="N8" r:id="rId4" display="https://www.cerema.fr/fr/actualites/accompagner-mutation-zones-commerciales-peripherie"/>
    <hyperlink ref="N9" r:id="rId5" display="https://www.cerema.fr/fr/actualites/accompagner-mutation-zones-commerciales-peripherie"/>
    <hyperlink ref="N10" r:id="rId6" display="https://www.insee.fr/fr/statistiques/5386414"/>
    <hyperlink ref="N11" r:id="rId7" display="https://www.insee.fr/fr/statistiques/5386414"/>
    <hyperlink ref="N12" r:id="rId8" display="https://www.insee.fr/fr/statistiques/5386414"/>
    <hyperlink ref="N13" r:id="rId9" display="https://www.insee.fr/fr/statistiques/8730497"/>
    <hyperlink ref="N14" r:id="rId10" display="https://www.insee.fr/fr/statistiques/8730497"/>
    <hyperlink ref="N15" r:id="rId11" display="https://www.insee.fr/fr/statistiques/8730497"/>
    <hyperlink ref="N16" r:id="rId12" display="https://www.info.gouv.fr/upload/media/content/0001/07/2dc90efc2c1a0e97572bf027240fac63e4dc9d75.pdf"/>
    <hyperlink ref="N17" r:id="rId13" display="https://www.info.gouv.fr/upload/media/content/0001/07/2dc90efc2c1a0e97572bf027240fac63e4dc9d75.pdf"/>
    <hyperlink ref="N18" r:id="rId14" display="https://www.procos.org/images/procos/presse/2025/Conf_0225/procos_dp_120225_site.pdf"/>
    <hyperlink ref="N19" r:id="rId15" display="https://www.cerema.fr/fr/actualites/zones-commerciales-centres-villes-trouver-bon-equilibre"/>
    <hyperlink ref="N23" r:id="rId16" display="https://www.senat.fr/rap/r21-910/r21-9109.html"/>
    <hyperlink ref="N24" r:id="rId17" display="https://www.lsa-conso.fr/la-peripherie-urbaine-aimante-le-commerce,323561"/>
    <hyperlink ref="N25" r:id="rId18" display="https://www.insee.fr/fr/statistiques/5386414"/>
    <hyperlink ref="N26" r:id="rId19" display="https://www.insee.fr/fr/statistiques/5386414"/>
    <hyperlink ref="N27" r:id="rId20" display="https://www.insee.fr/fr/statistiques/5386414"/>
    <hyperlink ref="N28" r:id="rId21" display="https://www.insee.fr/fr/statistiques/5386414"/>
    <hyperlink ref="N29" r:id="rId22" display="https://www.insee.fr/fr/statistiques/5386414"/>
    <hyperlink ref="N30" r:id="rId23" display="https://www.insee.fr/fr/statistiques/5386414"/>
    <hyperlink ref="N31" r:id="rId24" display="https://www.insee.fr/fr/statistiques/5386414"/>
    <hyperlink ref="N32" r:id="rId25" display="https://www.insee.fr/fr/statistiques/4248184"/>
    <hyperlink ref="N33" r:id="rId26" display="https://www.insee.fr/fr/statistiques/4248184"/>
    <hyperlink ref="N34" r:id="rId27" display="https://www.insee.fr/fr/statistiques/4248184"/>
    <hyperlink ref="N35" r:id="rId28" display="https://www.insee.fr/fr/statistiques/4248184"/>
    <hyperlink ref="N36" r:id="rId29" display="https://www.insee.fr/fr/statistiques/8730497"/>
    <hyperlink ref="N37" r:id="rId30" display="https://www.insee.fr/fr/statistiques/8730497"/>
    <hyperlink ref="N38" r:id="rId31" display="https://www.insee.fr/fr/statistiques/8730497"/>
    <hyperlink ref="N39" r:id="rId32" display="https://www.insee.fr/fr/statistiques/8730497"/>
    <hyperlink ref="N40" r:id="rId33" display="https://www.insee.fr/fr/statistiques/8730497"/>
    <hyperlink ref="N41" r:id="rId34" display="https://www.ccomptes.fr/sites/default/files/2023-10/20230929-politiques-publiques-commerce-proximite.pdf"/>
    <hyperlink ref="N42" r:id="rId35" display="https://www.cae-eco.fr/"/>
    <hyperlink ref="N43" r:id="rId36" display="https://www.publicsenat.fr/actualites/territoires/revitalisation-des-centres-villes-un-rapport-du-senat-pointe-un-sous"/>
    <hyperlink ref="N44" r:id="rId37" display="https://www.publicsenat.fr/actualites/territoires/revitalisation-des-centres-villes-un-rapport-du-senat-pointe-un-sous"/>
    <hyperlink ref="N45" r:id="rId38" display="https://www.cerema.fr/fr/actualites/zones-commerciales-centres-villes-trouver-bon-equilibre"/>
    <hyperlink ref="N46" r:id="rId39" display="https://www.banquedesterritoires.fr/vacance-commerciale-les-remedes-de-linstitut-pour-la-ville-et-le-commerce"/>
    <hyperlink ref="N47" r:id="rId40" display="https://www.banquedesterritoires.fr/la-progression-de-la-vacance-commerciale-ralentit-surtout-dans-les-villes-moyennes"/>
    <hyperlink ref="N48" r:id="rId41" display="https://www.banquedesterritoires.fr/la-progression-de-la-vacance-commerciale-ralentit-surtout-dans-les-villes-moyennes"/>
    <hyperlink ref="N49" r:id="rId42" display="https://www.banquedesterritoires.fr/la-progression-de-la-vacance-commerciale-ralentit-surtout-dans-les-villes-moyennes"/>
    <hyperlink ref="N50" r:id="rId43" display="https://www.banquedesterritoires.fr/la-progression-de-la-vacance-commerciale-ralentit-surtout-dans-les-villes-moyennes"/>
    <hyperlink ref="N51" r:id="rId44" display="https://www.senat.fr/rap/r21-910/r21-9109.html"/>
    <hyperlink ref="N52" r:id="rId45" display="https://www.procos.org/images/procos/presse/2025/Conf_0225/procos_dp_120225_site.pdf"/>
    <hyperlink ref="N53" r:id="rId46" display="https://www.procos.org/images/procos/presse/2025/Conf_0225/procos_dp_120225_site.pdf"/>
    <hyperlink ref="N55" r:id="rId47" display="https://www.info.gouv.fr/upload/media/content/0001/07/2dc90efc2c1a0e97572bf027240fac63e4dc9d75.pdf"/>
    <hyperlink ref="N56" r:id="rId48" display="https://www.entreprises.gouv.fr/la-dge/actualites/mission-sur-lavenir-du-commerce-de-proximite-neuf-mesures-retenues-pour"/>
    <hyperlink ref="N57" r:id="rId49" display="https://www.banquedesterritoires.fr/sites/default/files/2025-11/Rapport-mission-commerce-de-proximite-centres-villes-QPVf.pdf"/>
    <hyperlink ref="N58" r:id="rId50" display="https://www.entreprises.gouv.fr/la-dge/actualites/mission-sur-lavenir-du-commerce-de-proximite-neuf-mesures-retenues-pour"/>
    <hyperlink ref="N59" r:id="rId51" display="https://pointsdevente.fr/fil-info/2024-05-23-la-hausse-de-la-vacance-commerciale-reprend-dans-les-centres-villes/"/>
    <hyperlink ref="N60" r:id="rId52" display="https://pointsdevente.fr/fil-info/2024-05-23-la-hausse-de-la-vacance-commerciale-reprend-dans-les-centres-villes/"/>
    <hyperlink ref="N61" r:id="rId53" display="https://www.codata.eu/blog/quel-bilan-tirer-du-plan-acv-sur-la-vacance-commerciale-des-centres-villes-de-villes-moyennes/"/>
    <hyperlink ref="N62" r:id="rId54" display="https://www.codata.eu/blog/quel-bilan-tirer-du-plan-acv-sur-la-vacance-commerciale-des-centres-villes-de-villes-moyennes/"/>
    <hyperlink ref="N63" r:id="rId55" display="https://www.codata.eu/blog/quel-bilan-tirer-du-plan-acv-sur-la-vacance-commerciale-des-centres-villes-de-villes-moyennes/"/>
    <hyperlink ref="N64" r:id="rId56" display="https://www.codata.eu/blog/quel-bilan-tirer-du-plan-acv-sur-la-vacance-commerciale-des-centres-villes-de-villes-moyennes/"/>
    <hyperlink ref="N65" r:id="rId57" display="https://www.procos.org/images/procos/presse/2025/Conf_0225/procos_dp_120225_site.pdf"/>
    <hyperlink ref="N66" r:id="rId58" display="https://www.ccomptes.fr/sites/default/files/2023-10/20230929-politiques-publiques-commerce-proximite.pdf"/>
    <hyperlink ref="N67" r:id="rId59" display="https://www.ccomptes.fr/sites/default/files/2023-10/20230929-politiques-publiques-commerce-proximite.pdf"/>
    <hyperlink ref="N68" r:id="rId60" display="https://www.ccomptes.fr/sites/default/files/2023-10/20230929-politiques-publiques-commerce-proximite.pdf"/>
    <hyperlink ref="N69" r:id="rId61" display="https://www.ccomptes.fr/fr/publications/le-rapport-public-annuel-2026"/>
    <hyperlink ref="N70" r:id="rId62" display="https://www.procos.org/images/procos/presse/2025/Conf_0225/procos_dp_120225_site.pdf"/>
    <hyperlink ref="N71" r:id="rId63" display="https://www.procos.org/images/procos/presse/2025/Conf_0225/procos_dp_120225_site.pdf"/>
    <hyperlink ref="N72" r:id="rId64" display="https://www.procos.org/images/procos/presse/2025/Conf_0225/procos_dp_120225_site.pdf"/>
    <hyperlink ref="N73" r:id="rId65" display="https://www.ccomptes.fr/sites/default/files/2023-10/20230929-politiques-publiques-commerce-proximite.pdf"/>
    <hyperlink ref="N74" r:id="rId66" display="https://www.ccomptes.fr/sites/default/files/2023-10/20230929-politiques-publiques-commerce-proximite.pdf"/>
    <hyperlink ref="N75" r:id="rId67" display="https://www.ccomptes.fr/sites/default/files/2023-10/20230929-politiques-publiques-commerce-proximite.pdf"/>
    <hyperlink ref="N76" r:id="rId68" display="https://www.ccomptes.fr/sites/default/files/2023-10/20230929-politiques-publiques-commerce-proximite.pdf"/>
    <hyperlink ref="N77" r:id="rId69" display="https://www.ccomptes.fr/sites/default/files/2023-10/20230929-politiques-publiques-commerce-proximite.pdf"/>
    <hyperlink ref="N78" r:id="rId70" display="https://www.ccomptes.fr/sites/default/files/2023-10/20230929-politiques-publiques-commerce-proximite.pdf"/>
    <hyperlink ref="N79" r:id="rId71" display="https://www.senat.fr/rap/r21-910/r21-9109.html"/>
    <hyperlink ref="N80" r:id="rId72" display="https://lechommerces.fr/la-vacance-commerciale-progresse-de-nouveau-en-france/"/>
    <hyperlink ref="N81" r:id="rId73" display="https://www.icade.fr/content/download/7372/file/barom%C3%A8tre-entr%C3%A9es-de-ville-2e-edition-cap-sur-projets.pdf"/>
    <hyperlink ref="N82" r:id="rId74" display="https://www.cae-eco.fr/"/>
    <hyperlink ref="N83" r:id="rId75" display="https://anct.gouv.fr/quartiers-prioritaires"/>
    <hyperlink ref="N84" r:id="rId76" display="https://anct.gouv.fr/quartiers-prioritaires"/>
    <hyperlink ref="N85" r:id="rId77" display="https://www.inegalites.fr/Chomage-QPV"/>
    <hyperlink ref="N86" r:id="rId78" display="https://www.inegalites.fr/Les-revenus-et-la-pauvrete-dans-les-quartiers-les-plus-en-difficulte"/>
    <hyperlink ref="N87" r:id="rId79" display="https://www.inegalites.fr/Les-revenus-et-la-pauvrete-dans-les-quartiers-les-plus-en-difficulte"/>
    <hyperlink ref="N88" r:id="rId80" display="https://www.onpv.fr/uploads/media_items/onpv-dossier-entreprises-2023.original.pdf"/>
    <hyperlink ref="N89" r:id="rId81" display="https://www.onpv.fr/uploads/media_items/onpv-dossier-entreprises-2023.original.pdf"/>
    <hyperlink ref="N90" r:id="rId82" display="https://www.onpv.fr/uploads/media_items/onpv-dossier-entreprises-2023.original.pdf"/>
    <hyperlink ref="N91" r:id="rId83" display="https://www.anru.fr/la-docutheque/le-commerce-dans-les-quartiers-prioritaires-en-renouvellement-urbain"/>
    <hyperlink ref="N92" r:id="rId84" display="https://www.lsa-conso.fr/l-epareca-aide-les-quartiers-sensibles,34533"/>
    <hyperlink ref="N93" r:id="rId85" display="https://media.anct.gouv.fr/s3fs-public/2024-10/DP_ANCT_LE%20MANS_2024_v4%20(7).pdf"/>
    <hyperlink ref="N94" r:id="rId86" display="https://www.entreprises.gouv.fr/files/files/Publications/2025/rapports-activite/ra-cnac-2024.pdf"/>
    <hyperlink ref="N95" r:id="rId87" display="https://www.entreprises.gouv.fr/files/files/Publications/2025/rapports-activite/ra-cnac-2024.pdf"/>
    <hyperlink ref="N96" r:id="rId88" display="https://www.entreprises.gouv.fr/files/files/Publications/2025/rapports-activite/ra-cnac-2024.pdf"/>
    <hyperlink ref="N97" r:id="rId89" display="https://www.entreprises.gouv.fr/files/files/Publications/2025/rapports-activite/ra-cnac-2024.pdf"/>
    <hyperlink ref="N98" r:id="rId90" display="https://www.entreprises.gouv.fr/files/files/Publications/2025/rapports-activite/ra-cnac-2024.pdf"/>
    <hyperlink ref="N99" r:id="rId91" display="https://www.entreprises.gouv.fr/files/files/Publications/2025/rapports-activite/ra-cnac-2024.pdf"/>
    <hyperlink ref="N100" r:id="rId92" display="https://www.entreprises.gouv.fr/files/files/Publications/2025/rapports-activite/ra-cnac-2024.pdf"/>
    <hyperlink ref="N101" r:id="rId93" display="https://www.entreprises.gouv.fr/files/files/Publications/2025/rapports-activite/ra-cnac-2024.pdf"/>
    <hyperlink ref="N102" r:id="rId94" display="https://www.entreprises.gouv.fr/files/files/Publications/2025/rapports-activite/ra-cnac-2024.pdf"/>
    <hyperlink ref="N103" r:id="rId95" display="https://www.entreprises.gouv.fr/files/files/Publications/2025/rapports-activite/ra-cnac-2024.pdf"/>
    <hyperlink ref="N104" r:id="rId96" display="https://www.procos.org/images/procos/presse/2025/Conf_0225/procos_dp_120225_site.pdf"/>
    <hyperlink ref="N105" r:id="rId97" display="https://www.procos.org/images/procos/presse/2025/Conf_0225/procos_dp_120225_site.pdf"/>
    <hyperlink ref="N106" r:id="rId98" display="https://www.procos.org/images/procos/presse/2025/Conf_0225/procos_dp_120225_site.pdf"/>
    <hyperlink ref="N107" r:id="rId99" display="https://www.procos.org/images/procos/presse/2025/Conf_0225/procos_dp_120225_site.pdf"/>
    <hyperlink ref="N108" r:id="rId100" display="https://www.procos.org/images/procos/presse/2025/Conf_0225/procos_dp_120225_site.pdf"/>
    <hyperlink ref="N109" r:id="rId101" display="https://www.banquedesterritoires.fr/2023-annee-de-transition-de-lamenagement-commercial"/>
    <hyperlink ref="N110" r:id="rId102" display="https://www.banquedesterritoires.fr/2023-annee-de-transition-de-lamenagement-commercial"/>
    <hyperlink ref="N111" r:id="rId103" display="https://www.banquedesterritoires.fr/2023-annee-de-transition-de-lamenagement-commercial"/>
    <hyperlink ref="N112" r:id="rId104" display="https://www.legifrance.gouv.fr"/>
    <hyperlink ref="N113" r:id="rId105" display="https://www.legifrance.gouv.fr"/>
    <hyperlink ref="N114" r:id="rId106" display="https://www.legifrance.gouv.fr"/>
    <hyperlink ref="N115" r:id="rId107" display="https://www.legifrance.gouv.fr"/>
    <hyperlink ref="N116" r:id="rId108" display="https://www.legifrance.gouv.fr"/>
    <hyperlink ref="N117" r:id="rId109" display="https://www.entreprises.gouv.fr/files/files/Publications/2025/rapports-activite/ra-cnac-2024.pdf"/>
    <hyperlink ref="N118" r:id="rId110" display="https://artificialisation.developpement-durable.gouv.fr/actualites/parution-des-donnees-consommation-despaces-naturels-agricoles-et-forestiers-2011-2025"/>
    <hyperlink ref="N119" r:id="rId111" display="https://www.entreprises.gouv.fr/files/files/Publications/2025/rapports-activite/ra-cnac-2024.pdf"/>
    <hyperlink ref="N120" r:id="rId112" display="https://www.cerema.fr/fr/actualites/artificialisation-sols-quelle-dynamique"/>
    <hyperlink ref="N121" r:id="rId113" display="https://www.cerema.fr/fr/actualites/artificialisation-sols-quelle-dynamique"/>
    <hyperlink ref="N122" r:id="rId114" display="https://www.cerema.fr/fr/actualites/potentiel-reindustrialisation-friches"/>
    <hyperlink ref="N123" r:id="rId115" display="https://www.cerema.fr/fr/actualites/zones-commerciales-centres-villes-trouver-bon-equilibre"/>
    <hyperlink ref="N124" r:id="rId116" display="https://www.cerema.fr/fr/actualites/zones-commerciales-centres-villes-trouver-bon-equilibre"/>
    <hyperlink ref="N125" r:id="rId117" display="https://www.info.gouv.fr/upload/media/content/0001/07/2dc90efc2c1a0e97572bf027240fac63e4dc9d75.pdf"/>
    <hyperlink ref="N126" r:id="rId118" display="https://www.procos.org/images/procos/presse/2025/Conf_0225/procos_dp_120225_site.pdf"/>
    <hyperlink ref="N127" r:id="rId119" display="https://www.procos.org/images/procos/presse/2025/Conf_0225/procos_dp_120225_site.pdf"/>
    <hyperlink ref="N128" r:id="rId120" display="https://www.procos.org/images/procos/presse/2025/Conf_0225/procos_dp_120225_site.pdf"/>
    <hyperlink ref="N130" r:id="rId121" display="https://www.icade.fr/content/download/7372/file/barom%C3%A8tre-entr%C3%A9es-de-ville-2e-edition-cap-sur-projets.pdf"/>
    <hyperlink ref="N131" r:id="rId122" display="https://www.icade.fr/content/download/7372/file/barom%C3%A8tre-entr%C3%A9es-de-ville-2e-edition-cap-sur-projets.pdf"/>
    <hyperlink ref="N132" r:id="rId123" display="https://www.icade.fr/content/download/7372/file/barom%C3%A8tre-entr%C3%A9es-de-ville-2e-edition-cap-sur-projets.pdf"/>
    <hyperlink ref="N133" r:id="rId124" display="https://www.icade.fr/content/download/7372/file/barom%C3%A8tre-entr%C3%A9es-de-ville-2e-edition-cap-sur-projets.pdf"/>
    <hyperlink ref="N134" r:id="rId125" display="https://www.icade.fr/content/download/7372/file/barom%C3%A8tre-entr%C3%A9es-de-ville-2e-edition-cap-sur-projets.pdf"/>
    <hyperlink ref="N135" r:id="rId126" display="https://www.icade.fr/content/download/7372/file/barom%C3%A8tre-entr%C3%A9es-de-ville-2e-edition-cap-sur-projets.pdf"/>
    <hyperlink ref="N136" r:id="rId127" display="https://www.icade.fr/content/download/7372/file/barom%C3%A8tre-entr%C3%A9es-de-ville-2e-edition-cap-sur-projets.pdf"/>
    <hyperlink ref="N137" r:id="rId128" display="https://www.icade.fr/content/download/7372/file/barom%C3%A8tre-entr%C3%A9es-de-ville-2e-edition-cap-sur-projets.pdf"/>
    <hyperlink ref="N138" r:id="rId129" display="https://www.icade.fr/content/download/7372/file/barom%C3%A8tre-entr%C3%A9es-de-ville-2e-edition-cap-sur-projets.pdf"/>
    <hyperlink ref="N139" r:id="rId130" display="https://www.icade.fr/content/download/7372/file/barom%C3%A8tre-entr%C3%A9es-de-ville-2e-edition-cap-sur-projets.pdf"/>
    <hyperlink ref="N140" r:id="rId131" display="https://www.icade.fr/content/download/7372/file/barom%C3%A8tre-entr%C3%A9es-de-ville-2e-edition-cap-sur-projets.pdf"/>
    <hyperlink ref="N141" r:id="rId132" display="https://anct.gouv.fr/programmes-dispositifs/action-coeur-de-ville"/>
    <hyperlink ref="N142" r:id="rId133" display="https://anct.gouv.fr/programmes-dispositifs/action-coeur-de-ville"/>
    <hyperlink ref="N143" r:id="rId134" display="https://www.banquedesterritoires.fr/programme-action-coeur-de-ville-2026"/>
    <hyperlink ref="N144" r:id="rId135" display="https://www.banquedesterritoires.fr/programme-action-coeur-de-ville-2026"/>
    <hyperlink ref="N145" r:id="rId136" display="https://anct.gouv.fr/programmes-dispositifs/action-coeur-de-ville"/>
    <hyperlink ref="N146" r:id="rId137" display="https://www.aefinfo.fr/depeche/679781-action-coeur-de-ville-un-programme-ambitieux-mais-difficile-a-evaluer-selon-la-cour-des-comptes"/>
    <hyperlink ref="N147" r:id="rId138" display="https://www.aefinfo.fr/depeche/679781-action-coeur-de-ville-un-programme-ambitieux-mais-difficile-a-evaluer-selon-la-cour-des-comptes"/>
    <hyperlink ref="N148" r:id="rId139" display="https://www.senat.fr/rap/r21-910/r21-9109.html"/>
    <hyperlink ref="N149" r:id="rId140" display="https://anct.gouv.fr/actualites/petites-villes-de-demain-3-ans-d-engagement-et-11-milliard-d-euros-investis"/>
    <hyperlink ref="N150" r:id="rId141" display="https://anct.gouv.fr/actualites/petites-villes-de-demain-3-ans-d-engagement-et-11-milliard-d-euros-investis"/>
    <hyperlink ref="N151" r:id="rId142" display="https://anct.gouv.fr/actualites/petites-villes-de-demain-3-ans-d-engagement-et-11-milliard-d-euros-investis"/>
    <hyperlink ref="N152" r:id="rId143" display="https://www.banquedesterritoires.fr/la-banque-des-territoires-deploie-un-milliard-deuros-pour-soutenir-le-commerce"/>
    <hyperlink ref="N153" r:id="rId144" display="https://www.banquedesterritoires.fr/la-banque-des-territoires-deploie-un-milliard-deuros-pour-soutenir-le-commerce"/>
    <hyperlink ref="N154" r:id="rId145" display="https://www.entreprises.gouv.fr/la-direction-generale-des-entreprises/actualites/annonce-74-laureats-plan-transformation-zones-commerciales"/>
    <hyperlink ref="N155" r:id="rId146" display="https://www.entreprises.gouv.fr/la-direction-generale-des-entreprises/actualites/annonce-74-laureats-plan-transformation-zones-commerciales"/>
    <hyperlink ref="N156" r:id="rId147" display="https://www.ccomptes.fr/sites/default/files/2023-10/20230929-politiques-publiques-commerce-proximite.pdf"/>
    <hyperlink ref="N157" r:id="rId148" display="https://www.ccomptes.fr/sites/default/files/2023-10/20230929-politiques-publiques-commerce-proximite.pdf"/>
    <hyperlink ref="N158" r:id="rId149" display="https://www.ccomptes.fr/sites/default/files/2023-10/20230929-politiques-publiques-commerce-proximite.pdf"/>
    <hyperlink ref="N159" r:id="rId150" display="https://www.ccomptes.fr/sites/default/files/2023-10/20230929-politiques-publiques-commerce-proximite.pdf"/>
    <hyperlink ref="N160" r:id="rId151" display="https://www.ccomptes.fr/sites/default/files/2023-10/20230929-politiques-publiques-commerce-proximite.pdf"/>
    <hyperlink ref="N161" r:id="rId152" display="https://www.ccomptes.fr/sites/default/files/2023-10/20230929-politiques-publiques-commerce-proximite.pdf"/>
    <hyperlink ref="N162" r:id="rId153" display="https://www.ccomptes.fr/sites/default/files/2023-10/20230929-politiques-publiques-commerce-proximite.pdf"/>
    <hyperlink ref="N163" r:id="rId154" display="https://www.ccomptes.fr/sites/default/files/2023-10/20230929-politiques-publiques-commerce-proximite.pdf"/>
    <hyperlink ref="N164" r:id="rId155" display="https://www.ccomptes.fr/sites/default/files/2023-10/20230929-politiques-publiques-commerce-proximite.pdf"/>
    <hyperlink ref="N165" r:id="rId156" display="https://www.banquedesterritoires.fr/sites/default/files/2025-11/Rapport-mission-commerce-de-proximite-centres-villes-QPVf.pdf"/>
    <hyperlink ref="N166" r:id="rId157" display="https://www.senat.fr/rap/r21-910/r21-9109.html"/>
    <hyperlink ref="N167" r:id="rId158" display="https://www.cae-eco.fr/"/>
    <hyperlink ref="N168" r:id="rId159" display="https://www.cae-eco.fr/"/>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6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3" min="3" style="0" width="60"/>
    <col collapsed="false" customWidth="true" hidden="false" outlineLevel="0" max="4" min="4" style="0" width="16"/>
    <col collapsed="false" customWidth="true" hidden="false" outlineLevel="0" max="5" min="5" style="0" width="26"/>
    <col collapsed="false" customWidth="true" hidden="false" outlineLevel="0" max="6" min="6" style="0" width="40"/>
    <col collapsed="false" customWidth="true" hidden="false" outlineLevel="0" max="7" min="7" style="0" width="14"/>
  </cols>
  <sheetData>
    <row r="1" customFormat="false" ht="17.35" hidden="false" customHeight="false" outlineLevel="0" collapsed="false">
      <c r="A1" s="6" t="s">
        <v>769</v>
      </c>
    </row>
    <row r="2" customFormat="false" ht="15" hidden="false" customHeight="false" outlineLevel="0" collapsed="false">
      <c r="A2" s="7" t="s">
        <v>770</v>
      </c>
    </row>
    <row r="4" customFormat="false" ht="31.5" hidden="false" customHeight="true" outlineLevel="0" collapsed="false">
      <c r="A4" s="8" t="s">
        <v>771</v>
      </c>
      <c r="B4" s="8" t="s">
        <v>772</v>
      </c>
      <c r="C4" s="8" t="s">
        <v>773</v>
      </c>
      <c r="D4" s="8" t="s">
        <v>53</v>
      </c>
      <c r="E4" s="8" t="s">
        <v>54</v>
      </c>
      <c r="F4" s="8" t="s">
        <v>55</v>
      </c>
      <c r="G4" s="8" t="s">
        <v>774</v>
      </c>
    </row>
    <row r="5" customFormat="false" ht="15" hidden="false" customHeight="false" outlineLevel="0" collapsed="false">
      <c r="A5" s="9" t="s">
        <v>63</v>
      </c>
      <c r="B5" s="9" t="s">
        <v>775</v>
      </c>
      <c r="C5" s="9" t="s">
        <v>776</v>
      </c>
      <c r="D5" s="9" t="s">
        <v>65</v>
      </c>
      <c r="E5" s="9" t="s">
        <v>66</v>
      </c>
      <c r="F5" s="12" t="s">
        <v>67</v>
      </c>
      <c r="G5" s="15" t="n">
        <f aca="false">COUNTIF(Chiffres!$I$5:$I$468,A5)</f>
        <v>4</v>
      </c>
    </row>
    <row r="6" customFormat="false" ht="23.85" hidden="false" customHeight="false" outlineLevel="0" collapsed="false">
      <c r="A6" s="9" t="s">
        <v>77</v>
      </c>
      <c r="B6" s="9" t="s">
        <v>775</v>
      </c>
      <c r="C6" s="9" t="s">
        <v>777</v>
      </c>
      <c r="D6" s="9" t="s">
        <v>79</v>
      </c>
      <c r="E6" s="9" t="s">
        <v>66</v>
      </c>
      <c r="F6" s="12" t="s">
        <v>80</v>
      </c>
      <c r="G6" s="15" t="n">
        <f aca="false">COUNTIF(Chiffres!$I$5:$I$468,A6)</f>
        <v>1</v>
      </c>
    </row>
    <row r="7" customFormat="false" ht="15" hidden="false" customHeight="false" outlineLevel="0" collapsed="false">
      <c r="A7" s="9" t="s">
        <v>142</v>
      </c>
      <c r="B7" s="9" t="s">
        <v>775</v>
      </c>
      <c r="C7" s="9" t="s">
        <v>778</v>
      </c>
      <c r="D7" s="9" t="s">
        <v>144</v>
      </c>
      <c r="E7" s="9" t="s">
        <v>66</v>
      </c>
      <c r="F7" s="12" t="s">
        <v>145</v>
      </c>
      <c r="G7" s="15" t="n">
        <f aca="false">COUNTIF(Chiffres!$I$5:$I$468,A7)</f>
        <v>3</v>
      </c>
    </row>
    <row r="8" customFormat="false" ht="15" hidden="false" customHeight="false" outlineLevel="0" collapsed="false">
      <c r="A8" s="9" t="s">
        <v>594</v>
      </c>
      <c r="B8" s="9" t="s">
        <v>775</v>
      </c>
      <c r="C8" s="9" t="s">
        <v>779</v>
      </c>
      <c r="D8" s="9" t="s">
        <v>596</v>
      </c>
      <c r="E8" s="9" t="s">
        <v>66</v>
      </c>
      <c r="F8" s="12" t="s">
        <v>597</v>
      </c>
      <c r="G8" s="15" t="n">
        <f aca="false">COUNTIF(Chiffres!$I$5:$I$468,A8)</f>
        <v>1</v>
      </c>
    </row>
    <row r="9" customFormat="false" ht="23.85" hidden="false" customHeight="false" outlineLevel="0" collapsed="false">
      <c r="A9" s="9" t="s">
        <v>95</v>
      </c>
      <c r="B9" s="9" t="s">
        <v>780</v>
      </c>
      <c r="C9" s="9" t="s">
        <v>781</v>
      </c>
      <c r="D9" s="9" t="s">
        <v>97</v>
      </c>
      <c r="E9" s="9" t="s">
        <v>98</v>
      </c>
      <c r="F9" s="12" t="s">
        <v>99</v>
      </c>
      <c r="G9" s="15" t="n">
        <f aca="false">COUNTIF(Chiffres!$I$5:$I$468,A9)</f>
        <v>10</v>
      </c>
    </row>
    <row r="10" customFormat="false" ht="15" hidden="false" customHeight="false" outlineLevel="0" collapsed="false">
      <c r="A10" s="9" t="s">
        <v>197</v>
      </c>
      <c r="B10" s="9" t="s">
        <v>782</v>
      </c>
      <c r="C10" s="9" t="s">
        <v>783</v>
      </c>
      <c r="D10" s="9" t="s">
        <v>199</v>
      </c>
      <c r="E10" s="9" t="s">
        <v>98</v>
      </c>
      <c r="F10" s="12" t="s">
        <v>200</v>
      </c>
      <c r="G10" s="15" t="n">
        <f aca="false">COUNTIF(Chiffres!$I$5:$I$468,A10)</f>
        <v>4</v>
      </c>
    </row>
    <row r="11" customFormat="false" ht="23.85" hidden="false" customHeight="false" outlineLevel="0" collapsed="false">
      <c r="A11" s="9" t="s">
        <v>109</v>
      </c>
      <c r="B11" s="9" t="s">
        <v>784</v>
      </c>
      <c r="C11" s="9" t="s">
        <v>785</v>
      </c>
      <c r="D11" s="9" t="s">
        <v>111</v>
      </c>
      <c r="E11" s="9" t="s">
        <v>98</v>
      </c>
      <c r="F11" s="12" t="s">
        <v>112</v>
      </c>
      <c r="G11" s="15" t="n">
        <f aca="false">COUNTIF(Chiffres!$I$5:$I$468,A11)</f>
        <v>8</v>
      </c>
    </row>
    <row r="12" customFormat="false" ht="23.85" hidden="false" customHeight="false" outlineLevel="0" collapsed="false">
      <c r="A12" s="9" t="s">
        <v>122</v>
      </c>
      <c r="B12" s="9" t="s">
        <v>786</v>
      </c>
      <c r="C12" s="9" t="s">
        <v>787</v>
      </c>
      <c r="D12" s="9" t="s">
        <v>124</v>
      </c>
      <c r="E12" s="9" t="s">
        <v>66</v>
      </c>
      <c r="F12" s="12" t="s">
        <v>125</v>
      </c>
      <c r="G12" s="15" t="n">
        <f aca="false">COUNTIF(Chiffres!$I$5:$I$468,A12)</f>
        <v>4</v>
      </c>
    </row>
    <row r="13" customFormat="false" ht="15" hidden="false" customHeight="false" outlineLevel="0" collapsed="false">
      <c r="A13" s="9" t="s">
        <v>133</v>
      </c>
      <c r="B13" s="9" t="s">
        <v>788</v>
      </c>
      <c r="C13" s="9" t="s">
        <v>789</v>
      </c>
      <c r="D13" s="9" t="s">
        <v>135</v>
      </c>
      <c r="E13" s="9" t="s">
        <v>136</v>
      </c>
      <c r="F13" s="12" t="s">
        <v>137</v>
      </c>
      <c r="G13" s="15" t="n">
        <f aca="false">COUNTIF(Chiffres!$I$5:$I$468,A13)</f>
        <v>15</v>
      </c>
    </row>
    <row r="14" customFormat="false" ht="15" hidden="false" customHeight="false" outlineLevel="0" collapsed="false">
      <c r="A14" s="9" t="s">
        <v>494</v>
      </c>
      <c r="B14" s="9" t="s">
        <v>790</v>
      </c>
      <c r="C14" s="9" t="s">
        <v>791</v>
      </c>
      <c r="D14" s="9" t="s">
        <v>297</v>
      </c>
      <c r="E14" s="9" t="s">
        <v>66</v>
      </c>
      <c r="F14" s="12" t="s">
        <v>496</v>
      </c>
      <c r="G14" s="15" t="n">
        <f aca="false">COUNTIF(Chiffres!$I$5:$I$468,A14)</f>
        <v>12</v>
      </c>
    </row>
    <row r="15" customFormat="false" ht="15" hidden="false" customHeight="false" outlineLevel="0" collapsed="false">
      <c r="A15" s="9" t="s">
        <v>417</v>
      </c>
      <c r="B15" s="9" t="s">
        <v>792</v>
      </c>
      <c r="C15" s="9" t="s">
        <v>793</v>
      </c>
      <c r="D15" s="9" t="s">
        <v>419</v>
      </c>
      <c r="E15" s="9" t="s">
        <v>136</v>
      </c>
      <c r="F15" s="12" t="s">
        <v>420</v>
      </c>
      <c r="G15" s="15" t="n">
        <f aca="false">COUNTIF(Chiffres!$I$5:$I$468,A15)</f>
        <v>12</v>
      </c>
    </row>
    <row r="16" customFormat="false" ht="15" hidden="false" customHeight="false" outlineLevel="0" collapsed="false">
      <c r="A16" s="9" t="s">
        <v>236</v>
      </c>
      <c r="B16" s="9" t="s">
        <v>794</v>
      </c>
      <c r="C16" s="9" t="s">
        <v>795</v>
      </c>
      <c r="D16" s="9" t="s">
        <v>238</v>
      </c>
      <c r="E16" s="9" t="s">
        <v>239</v>
      </c>
      <c r="F16" s="12" t="s">
        <v>240</v>
      </c>
      <c r="G16" s="15" t="n">
        <f aca="false">COUNTIF(Chiffres!$I$5:$I$468,A16)</f>
        <v>4</v>
      </c>
    </row>
    <row r="17" customFormat="false" ht="23.85" hidden="false" customHeight="false" outlineLevel="0" collapsed="false">
      <c r="A17" s="9" t="s">
        <v>150</v>
      </c>
      <c r="B17" s="9" t="s">
        <v>796</v>
      </c>
      <c r="C17" s="9" t="s">
        <v>797</v>
      </c>
      <c r="D17" s="9" t="s">
        <v>148</v>
      </c>
      <c r="E17" s="9" t="s">
        <v>136</v>
      </c>
      <c r="F17" s="9"/>
      <c r="G17" s="15" t="n">
        <f aca="false">COUNTIF(Chiffres!$I$5:$I$468,A17)</f>
        <v>3</v>
      </c>
    </row>
    <row r="18" customFormat="false" ht="15" hidden="false" customHeight="false" outlineLevel="0" collapsed="false">
      <c r="A18" s="9" t="s">
        <v>299</v>
      </c>
      <c r="B18" s="9" t="s">
        <v>798</v>
      </c>
      <c r="C18" s="9" t="s">
        <v>799</v>
      </c>
      <c r="D18" s="9" t="s">
        <v>301</v>
      </c>
      <c r="E18" s="9" t="s">
        <v>136</v>
      </c>
      <c r="F18" s="9"/>
      <c r="G18" s="15" t="n">
        <f aca="false">COUNTIF(Chiffres!$I$5:$I$468,A18)</f>
        <v>2</v>
      </c>
    </row>
    <row r="19" customFormat="false" ht="15" hidden="false" customHeight="false" outlineLevel="0" collapsed="false">
      <c r="A19" s="9" t="s">
        <v>411</v>
      </c>
      <c r="B19" s="9" t="s">
        <v>800</v>
      </c>
      <c r="C19" s="9" t="s">
        <v>801</v>
      </c>
      <c r="D19" s="9" t="s">
        <v>297</v>
      </c>
      <c r="E19" s="9" t="s">
        <v>172</v>
      </c>
      <c r="F19" s="12" t="s">
        <v>413</v>
      </c>
      <c r="G19" s="15" t="n">
        <f aca="false">COUNTIF(Chiffres!$I$5:$I$468,A19)</f>
        <v>1</v>
      </c>
    </row>
    <row r="20" customFormat="false" ht="23.85" hidden="false" customHeight="false" outlineLevel="0" collapsed="false">
      <c r="A20" s="9" t="s">
        <v>337</v>
      </c>
      <c r="B20" s="9" t="s">
        <v>798</v>
      </c>
      <c r="C20" s="9" t="s">
        <v>802</v>
      </c>
      <c r="D20" s="9" t="s">
        <v>339</v>
      </c>
      <c r="E20" s="9" t="s">
        <v>136</v>
      </c>
      <c r="F20" s="12" t="s">
        <v>340</v>
      </c>
      <c r="G20" s="15" t="n">
        <f aca="false">COUNTIF(Chiffres!$I$5:$I$468,A20)</f>
        <v>4</v>
      </c>
    </row>
    <row r="21" customFormat="false" ht="23.85" hidden="false" customHeight="false" outlineLevel="0" collapsed="false">
      <c r="A21" s="9" t="s">
        <v>328</v>
      </c>
      <c r="B21" s="9" t="s">
        <v>803</v>
      </c>
      <c r="C21" s="9" t="s">
        <v>804</v>
      </c>
      <c r="D21" s="9" t="s">
        <v>330</v>
      </c>
      <c r="E21" s="9" t="s">
        <v>172</v>
      </c>
      <c r="F21" s="12" t="s">
        <v>331</v>
      </c>
      <c r="G21" s="15" t="n">
        <f aca="false">COUNTIF(Chiffres!$I$5:$I$468,A21)</f>
        <v>2</v>
      </c>
    </row>
    <row r="22" customFormat="false" ht="15" hidden="false" customHeight="false" outlineLevel="0" collapsed="false">
      <c r="A22" s="9" t="s">
        <v>246</v>
      </c>
      <c r="B22" s="9" t="s">
        <v>805</v>
      </c>
      <c r="C22" s="9" t="s">
        <v>806</v>
      </c>
      <c r="D22" s="9" t="s">
        <v>107</v>
      </c>
      <c r="E22" s="9" t="s">
        <v>172</v>
      </c>
      <c r="F22" s="12" t="s">
        <v>248</v>
      </c>
      <c r="G22" s="15" t="n">
        <f aca="false">COUNTIF(Chiffres!$I$5:$I$468,A22)</f>
        <v>2</v>
      </c>
    </row>
    <row r="23" customFormat="false" ht="35.05" hidden="false" customHeight="false" outlineLevel="0" collapsed="false">
      <c r="A23" s="9" t="s">
        <v>255</v>
      </c>
      <c r="B23" s="9" t="s">
        <v>807</v>
      </c>
      <c r="C23" s="9" t="s">
        <v>808</v>
      </c>
      <c r="D23" s="9" t="s">
        <v>257</v>
      </c>
      <c r="E23" s="9" t="s">
        <v>164</v>
      </c>
      <c r="F23" s="12" t="s">
        <v>145</v>
      </c>
      <c r="G23" s="15" t="n">
        <f aca="false">COUNTIF(Chiffres!$I$5:$I$468,A23)</f>
        <v>1</v>
      </c>
    </row>
    <row r="24" customFormat="false" ht="23.85" hidden="false" customHeight="false" outlineLevel="0" collapsed="false">
      <c r="A24" s="9" t="s">
        <v>261</v>
      </c>
      <c r="B24" s="9" t="s">
        <v>809</v>
      </c>
      <c r="C24" s="9" t="s">
        <v>810</v>
      </c>
      <c r="D24" s="9" t="s">
        <v>84</v>
      </c>
      <c r="E24" s="9" t="s">
        <v>172</v>
      </c>
      <c r="F24" s="12" t="s">
        <v>263</v>
      </c>
      <c r="G24" s="15" t="n">
        <f aca="false">COUNTIF(Chiffres!$I$5:$I$468,A24)</f>
        <v>1</v>
      </c>
    </row>
    <row r="25" customFormat="false" ht="23.85" hidden="false" customHeight="false" outlineLevel="0" collapsed="false">
      <c r="A25" s="9" t="s">
        <v>268</v>
      </c>
      <c r="B25" s="9" t="s">
        <v>811</v>
      </c>
      <c r="C25" s="9" t="s">
        <v>812</v>
      </c>
      <c r="D25" s="9" t="s">
        <v>270</v>
      </c>
      <c r="E25" s="9" t="s">
        <v>172</v>
      </c>
      <c r="F25" s="12" t="s">
        <v>271</v>
      </c>
      <c r="G25" s="15" t="n">
        <f aca="false">COUNTIF(Chiffres!$I$5:$I$468,A25)</f>
        <v>4</v>
      </c>
    </row>
    <row r="26" customFormat="false" ht="35.05" hidden="false" customHeight="false" outlineLevel="0" collapsed="false">
      <c r="A26" s="9" t="s">
        <v>162</v>
      </c>
      <c r="B26" s="9" t="s">
        <v>813</v>
      </c>
      <c r="C26" s="9" t="s">
        <v>814</v>
      </c>
      <c r="D26" s="9" t="s">
        <v>107</v>
      </c>
      <c r="E26" s="9" t="s">
        <v>164</v>
      </c>
      <c r="F26" s="12" t="s">
        <v>165</v>
      </c>
      <c r="G26" s="15" t="n">
        <f aca="false">COUNTIF(Chiffres!$I$5:$I$468,A26)</f>
        <v>5</v>
      </c>
    </row>
    <row r="27" customFormat="false" ht="35.05" hidden="false" customHeight="false" outlineLevel="0" collapsed="false">
      <c r="A27" s="9" t="s">
        <v>227</v>
      </c>
      <c r="B27" s="9" t="s">
        <v>815</v>
      </c>
      <c r="C27" s="9" t="s">
        <v>816</v>
      </c>
      <c r="D27" s="9" t="s">
        <v>229</v>
      </c>
      <c r="E27" s="9" t="s">
        <v>164</v>
      </c>
      <c r="F27" s="12" t="s">
        <v>230</v>
      </c>
      <c r="G27" s="15" t="n">
        <f aca="false">COUNTIF(Chiffres!$I$5:$I$468,A27)</f>
        <v>19</v>
      </c>
    </row>
    <row r="28" customFormat="false" ht="35.05" hidden="false" customHeight="false" outlineLevel="0" collapsed="false">
      <c r="A28" s="9" t="s">
        <v>817</v>
      </c>
      <c r="B28" s="9" t="s">
        <v>815</v>
      </c>
      <c r="C28" s="9" t="s">
        <v>818</v>
      </c>
      <c r="D28" s="9" t="s">
        <v>257</v>
      </c>
      <c r="E28" s="9" t="s">
        <v>164</v>
      </c>
      <c r="F28" s="12" t="s">
        <v>819</v>
      </c>
      <c r="G28" s="15" t="n">
        <f aca="false">COUNTIF(Chiffres!$I$5:$I$468,A28)</f>
        <v>0</v>
      </c>
    </row>
    <row r="29" customFormat="false" ht="35.05" hidden="false" customHeight="false" outlineLevel="0" collapsed="false">
      <c r="A29" s="9" t="s">
        <v>820</v>
      </c>
      <c r="B29" s="9" t="s">
        <v>815</v>
      </c>
      <c r="C29" s="9" t="s">
        <v>821</v>
      </c>
      <c r="D29" s="9" t="s">
        <v>822</v>
      </c>
      <c r="E29" s="9" t="s">
        <v>164</v>
      </c>
      <c r="F29" s="12" t="s">
        <v>823</v>
      </c>
      <c r="G29" s="15" t="n">
        <f aca="false">COUNTIF(Chiffres!$I$5:$I$468,A29)</f>
        <v>0</v>
      </c>
    </row>
    <row r="30" customFormat="false" ht="35.05" hidden="false" customHeight="false" outlineLevel="0" collapsed="false">
      <c r="A30" s="9" t="s">
        <v>662</v>
      </c>
      <c r="B30" s="9" t="s">
        <v>824</v>
      </c>
      <c r="C30" s="9" t="s">
        <v>825</v>
      </c>
      <c r="D30" s="9" t="s">
        <v>664</v>
      </c>
      <c r="E30" s="9" t="s">
        <v>164</v>
      </c>
      <c r="F30" s="12" t="s">
        <v>665</v>
      </c>
      <c r="G30" s="15" t="n">
        <f aca="false">COUNTIF(Chiffres!$I$5:$I$468,A30)</f>
        <v>2</v>
      </c>
    </row>
    <row r="31" customFormat="false" ht="35.05" hidden="false" customHeight="false" outlineLevel="0" collapsed="false">
      <c r="A31" s="9" t="s">
        <v>315</v>
      </c>
      <c r="B31" s="9" t="s">
        <v>826</v>
      </c>
      <c r="C31" s="9" t="s">
        <v>827</v>
      </c>
      <c r="D31" s="9" t="s">
        <v>317</v>
      </c>
      <c r="E31" s="9" t="s">
        <v>164</v>
      </c>
      <c r="F31" s="12" t="s">
        <v>318</v>
      </c>
      <c r="G31" s="15" t="n">
        <f aca="false">COUNTIF(Chiffres!$I$5:$I$468,A31)</f>
        <v>2</v>
      </c>
    </row>
    <row r="32" customFormat="false" ht="15" hidden="false" customHeight="false" outlineLevel="0" collapsed="false">
      <c r="A32" s="9" t="s">
        <v>307</v>
      </c>
      <c r="B32" s="9" t="s">
        <v>828</v>
      </c>
      <c r="C32" s="9" t="s">
        <v>829</v>
      </c>
      <c r="D32" s="9" t="s">
        <v>309</v>
      </c>
      <c r="E32" s="9" t="s">
        <v>66</v>
      </c>
      <c r="F32" s="12" t="s">
        <v>310</v>
      </c>
      <c r="G32" s="15" t="n">
        <f aca="false">COUNTIF(Chiffres!$I$5:$I$468,A32)</f>
        <v>2</v>
      </c>
    </row>
    <row r="33" customFormat="false" ht="35.05" hidden="false" customHeight="false" outlineLevel="0" collapsed="false">
      <c r="A33" s="9" t="s">
        <v>830</v>
      </c>
      <c r="B33" s="9" t="s">
        <v>831</v>
      </c>
      <c r="C33" s="9" t="s">
        <v>832</v>
      </c>
      <c r="D33" s="9" t="s">
        <v>833</v>
      </c>
      <c r="E33" s="9" t="s">
        <v>164</v>
      </c>
      <c r="F33" s="12" t="s">
        <v>834</v>
      </c>
      <c r="G33" s="15" t="n">
        <f aca="false">COUNTIF(Chiffres!$I$5:$I$468,A33)</f>
        <v>0</v>
      </c>
    </row>
    <row r="34" customFormat="false" ht="15" hidden="false" customHeight="false" outlineLevel="0" collapsed="false">
      <c r="A34" s="9" t="s">
        <v>457</v>
      </c>
      <c r="B34" s="9" t="s">
        <v>835</v>
      </c>
      <c r="C34" s="9" t="s">
        <v>836</v>
      </c>
      <c r="D34" s="9" t="s">
        <v>326</v>
      </c>
      <c r="E34" s="9" t="s">
        <v>98</v>
      </c>
      <c r="F34" s="12" t="s">
        <v>459</v>
      </c>
      <c r="G34" s="15" t="n">
        <f aca="false">COUNTIF(Chiffres!$I$5:$I$468,A34)</f>
        <v>3</v>
      </c>
    </row>
    <row r="35" customFormat="false" ht="15" hidden="false" customHeight="false" outlineLevel="0" collapsed="false">
      <c r="A35" s="9" t="s">
        <v>438</v>
      </c>
      <c r="B35" s="9" t="s">
        <v>837</v>
      </c>
      <c r="C35" s="9" t="s">
        <v>838</v>
      </c>
      <c r="D35" s="9" t="s">
        <v>440</v>
      </c>
      <c r="E35" s="9" t="s">
        <v>172</v>
      </c>
      <c r="F35" s="12" t="s">
        <v>441</v>
      </c>
      <c r="G35" s="15" t="n">
        <f aca="false">COUNTIF(Chiffres!$I$5:$I$468,A35)</f>
        <v>1</v>
      </c>
    </row>
    <row r="36" customFormat="false" ht="15" hidden="false" customHeight="false" outlineLevel="0" collapsed="false">
      <c r="A36" s="9" t="s">
        <v>445</v>
      </c>
      <c r="B36" s="9" t="s">
        <v>839</v>
      </c>
      <c r="C36" s="9" t="s">
        <v>840</v>
      </c>
      <c r="D36" s="9" t="s">
        <v>447</v>
      </c>
      <c r="E36" s="9" t="s">
        <v>172</v>
      </c>
      <c r="F36" s="12" t="s">
        <v>448</v>
      </c>
      <c r="G36" s="15" t="n">
        <f aca="false">COUNTIF(Chiffres!$I$5:$I$468,A36)</f>
        <v>2</v>
      </c>
    </row>
    <row r="37" customFormat="false" ht="15" hidden="false" customHeight="false" outlineLevel="0" collapsed="false">
      <c r="A37" s="9" t="s">
        <v>429</v>
      </c>
      <c r="B37" s="9" t="s">
        <v>841</v>
      </c>
      <c r="C37" s="9" t="s">
        <v>842</v>
      </c>
      <c r="D37" s="9" t="s">
        <v>297</v>
      </c>
      <c r="E37" s="9" t="s">
        <v>66</v>
      </c>
      <c r="F37" s="12" t="s">
        <v>431</v>
      </c>
      <c r="G37" s="15" t="n">
        <f aca="false">COUNTIF(Chiffres!$I$5:$I$468,A37)</f>
        <v>2</v>
      </c>
    </row>
    <row r="38" customFormat="false" ht="15" hidden="false" customHeight="false" outlineLevel="0" collapsed="false">
      <c r="A38" s="9" t="s">
        <v>471</v>
      </c>
      <c r="B38" s="9" t="s">
        <v>843</v>
      </c>
      <c r="C38" s="9" t="s">
        <v>844</v>
      </c>
      <c r="D38" s="9" t="s">
        <v>297</v>
      </c>
      <c r="E38" s="9" t="s">
        <v>66</v>
      </c>
      <c r="F38" s="12" t="s">
        <v>473</v>
      </c>
      <c r="G38" s="15" t="n">
        <f aca="false">COUNTIF(Chiffres!$I$5:$I$468,A38)</f>
        <v>1</v>
      </c>
    </row>
    <row r="39" customFormat="false" ht="15" hidden="false" customHeight="false" outlineLevel="0" collapsed="false">
      <c r="A39" s="9" t="s">
        <v>638</v>
      </c>
      <c r="B39" s="9" t="s">
        <v>841</v>
      </c>
      <c r="C39" s="9" t="s">
        <v>845</v>
      </c>
      <c r="D39" s="9" t="s">
        <v>297</v>
      </c>
      <c r="E39" s="9" t="s">
        <v>66</v>
      </c>
      <c r="F39" s="12" t="s">
        <v>640</v>
      </c>
      <c r="G39" s="15" t="n">
        <f aca="false">COUNTIF(Chiffres!$I$5:$I$468,A39)</f>
        <v>3</v>
      </c>
    </row>
    <row r="40" customFormat="false" ht="15" hidden="false" customHeight="false" outlineLevel="0" collapsed="false">
      <c r="A40" s="9" t="s">
        <v>649</v>
      </c>
      <c r="B40" s="9" t="s">
        <v>846</v>
      </c>
      <c r="C40" s="9" t="s">
        <v>847</v>
      </c>
      <c r="D40" s="9" t="s">
        <v>84</v>
      </c>
      <c r="E40" s="9" t="s">
        <v>66</v>
      </c>
      <c r="F40" s="12" t="s">
        <v>651</v>
      </c>
      <c r="G40" s="15" t="n">
        <f aca="false">COUNTIF(Chiffres!$I$5:$I$468,A40)</f>
        <v>2</v>
      </c>
    </row>
    <row r="41" customFormat="false" ht="15" hidden="false" customHeight="false" outlineLevel="0" collapsed="false">
      <c r="A41" s="9" t="s">
        <v>678</v>
      </c>
      <c r="B41" s="9" t="s">
        <v>841</v>
      </c>
      <c r="C41" s="9" t="s">
        <v>848</v>
      </c>
      <c r="D41" s="9" t="s">
        <v>680</v>
      </c>
      <c r="E41" s="9" t="s">
        <v>66</v>
      </c>
      <c r="F41" s="12" t="s">
        <v>681</v>
      </c>
      <c r="G41" s="15" t="n">
        <f aca="false">COUNTIF(Chiffres!$I$5:$I$468,A41)</f>
        <v>3</v>
      </c>
    </row>
    <row r="42" customFormat="false" ht="15" hidden="false" customHeight="false" outlineLevel="0" collapsed="false">
      <c r="A42" s="9" t="s">
        <v>694</v>
      </c>
      <c r="B42" s="9" t="s">
        <v>846</v>
      </c>
      <c r="C42" s="9" t="s">
        <v>849</v>
      </c>
      <c r="D42" s="9" t="s">
        <v>696</v>
      </c>
      <c r="E42" s="9" t="s">
        <v>66</v>
      </c>
      <c r="F42" s="12" t="s">
        <v>697</v>
      </c>
      <c r="G42" s="15" t="n">
        <f aca="false">COUNTIF(Chiffres!$I$5:$I$468,A42)</f>
        <v>2</v>
      </c>
    </row>
    <row r="43" customFormat="false" ht="23.85" hidden="false" customHeight="false" outlineLevel="0" collapsed="false">
      <c r="A43" s="9" t="s">
        <v>703</v>
      </c>
      <c r="B43" s="9" t="s">
        <v>850</v>
      </c>
      <c r="C43" s="9" t="s">
        <v>851</v>
      </c>
      <c r="D43" s="9" t="s">
        <v>705</v>
      </c>
      <c r="E43" s="9" t="s">
        <v>66</v>
      </c>
      <c r="F43" s="12" t="s">
        <v>706</v>
      </c>
      <c r="G43" s="15" t="n">
        <f aca="false">COUNTIF(Chiffres!$I$5:$I$468,A43)</f>
        <v>2</v>
      </c>
    </row>
    <row r="44" customFormat="false" ht="15" hidden="false" customHeight="false" outlineLevel="0" collapsed="false">
      <c r="A44" s="9" t="s">
        <v>527</v>
      </c>
      <c r="B44" s="9" t="s">
        <v>846</v>
      </c>
      <c r="C44" s="9" t="s">
        <v>852</v>
      </c>
      <c r="D44" s="9" t="s">
        <v>148</v>
      </c>
      <c r="E44" s="9" t="s">
        <v>172</v>
      </c>
      <c r="F44" s="12" t="s">
        <v>529</v>
      </c>
      <c r="G44" s="15" t="n">
        <f aca="false">COUNTIF(Chiffres!$I$5:$I$468,A44)</f>
        <v>3</v>
      </c>
    </row>
    <row r="45" customFormat="false" ht="23.85" hidden="false" customHeight="false" outlineLevel="0" collapsed="false">
      <c r="A45" s="9" t="s">
        <v>572</v>
      </c>
      <c r="B45" s="9" t="s">
        <v>853</v>
      </c>
      <c r="C45" s="9" t="s">
        <v>854</v>
      </c>
      <c r="D45" s="9" t="s">
        <v>301</v>
      </c>
      <c r="E45" s="9" t="s">
        <v>98</v>
      </c>
      <c r="F45" s="12" t="s">
        <v>574</v>
      </c>
      <c r="G45" s="15" t="n">
        <f aca="false">COUNTIF(Chiffres!$I$5:$I$468,A45)</f>
        <v>1</v>
      </c>
    </row>
    <row r="46" customFormat="false" ht="23.85" hidden="false" customHeight="false" outlineLevel="0" collapsed="false">
      <c r="A46" s="9" t="s">
        <v>583</v>
      </c>
      <c r="B46" s="9" t="s">
        <v>775</v>
      </c>
      <c r="C46" s="9" t="s">
        <v>855</v>
      </c>
      <c r="D46" s="9" t="s">
        <v>84</v>
      </c>
      <c r="E46" s="9" t="s">
        <v>66</v>
      </c>
      <c r="F46" s="12" t="s">
        <v>585</v>
      </c>
      <c r="G46" s="15" t="n">
        <f aca="false">COUNTIF(Chiffres!$I$5:$I$468,A46)</f>
        <v>2</v>
      </c>
    </row>
    <row r="47" customFormat="false" ht="35.05" hidden="false" customHeight="false" outlineLevel="0" collapsed="false">
      <c r="A47" s="9" t="s">
        <v>856</v>
      </c>
      <c r="B47" s="9" t="s">
        <v>857</v>
      </c>
      <c r="C47" s="9" t="s">
        <v>858</v>
      </c>
      <c r="D47" s="9" t="s">
        <v>859</v>
      </c>
      <c r="E47" s="9" t="s">
        <v>164</v>
      </c>
      <c r="F47" s="12" t="s">
        <v>860</v>
      </c>
      <c r="G47" s="15" t="n">
        <f aca="false">COUNTIF(Chiffres!$I$5:$I$468,A47)</f>
        <v>0</v>
      </c>
    </row>
    <row r="48" customFormat="false" ht="15" hidden="false" customHeight="false" outlineLevel="0" collapsed="false">
      <c r="A48" s="9" t="s">
        <v>170</v>
      </c>
      <c r="B48" s="9" t="s">
        <v>861</v>
      </c>
      <c r="C48" s="9" t="s">
        <v>862</v>
      </c>
      <c r="D48" s="9" t="s">
        <v>84</v>
      </c>
      <c r="E48" s="9" t="s">
        <v>172</v>
      </c>
      <c r="F48" s="12" t="s">
        <v>173</v>
      </c>
      <c r="G48" s="15" t="n">
        <f aca="false">COUNTIF(Chiffres!$I$5:$I$468,A48)</f>
        <v>1</v>
      </c>
    </row>
    <row r="49" customFormat="false" ht="23.85" hidden="false" customHeight="false" outlineLevel="0" collapsed="false">
      <c r="A49" s="9" t="s">
        <v>542</v>
      </c>
      <c r="B49" s="9" t="s">
        <v>863</v>
      </c>
      <c r="C49" s="9" t="s">
        <v>864</v>
      </c>
      <c r="D49" s="9" t="s">
        <v>544</v>
      </c>
      <c r="E49" s="9" t="s">
        <v>545</v>
      </c>
      <c r="F49" s="12" t="s">
        <v>546</v>
      </c>
      <c r="G49" s="15" t="n">
        <f aca="false">COUNTIF(Chiffres!$I$5:$I$468,A49)</f>
        <v>5</v>
      </c>
    </row>
    <row r="50" customFormat="false" ht="23.85" hidden="false" customHeight="false" outlineLevel="0" collapsed="false">
      <c r="A50" s="9" t="s">
        <v>478</v>
      </c>
      <c r="B50" s="9" t="s">
        <v>865</v>
      </c>
      <c r="C50" s="9" t="s">
        <v>866</v>
      </c>
      <c r="D50" s="9" t="s">
        <v>84</v>
      </c>
      <c r="E50" s="9" t="s">
        <v>172</v>
      </c>
      <c r="F50" s="12" t="s">
        <v>480</v>
      </c>
      <c r="G50" s="15" t="n">
        <f aca="false">COUNTIF(Chiffres!$I$5:$I$468,A50)</f>
        <v>1</v>
      </c>
    </row>
    <row r="51" customFormat="false" ht="15" hidden="false" customHeight="false" outlineLevel="0" collapsed="false">
      <c r="A51" s="9" t="s">
        <v>486</v>
      </c>
      <c r="B51" s="9" t="s">
        <v>841</v>
      </c>
      <c r="C51" s="9" t="s">
        <v>867</v>
      </c>
      <c r="D51" s="9" t="s">
        <v>488</v>
      </c>
      <c r="E51" s="9" t="s">
        <v>66</v>
      </c>
      <c r="F51" s="12" t="s">
        <v>489</v>
      </c>
      <c r="G51" s="15" t="n">
        <f aca="false">COUNTIF(Chiffres!$I$5:$I$468,A51)</f>
        <v>1</v>
      </c>
    </row>
    <row r="52" customFormat="false" ht="35.05" hidden="false" customHeight="false" outlineLevel="0" collapsed="false">
      <c r="A52" s="9" t="s">
        <v>868</v>
      </c>
      <c r="B52" s="9" t="s">
        <v>815</v>
      </c>
      <c r="C52" s="9" t="s">
        <v>869</v>
      </c>
      <c r="D52" s="9" t="s">
        <v>870</v>
      </c>
      <c r="E52" s="9" t="s">
        <v>164</v>
      </c>
      <c r="F52" s="12" t="s">
        <v>871</v>
      </c>
      <c r="G52" s="15" t="n">
        <f aca="false">COUNTIF(Chiffres!$I$5:$I$468,A52)</f>
        <v>0</v>
      </c>
    </row>
    <row r="53" customFormat="false" ht="35.05" hidden="false" customHeight="false" outlineLevel="0" collapsed="false">
      <c r="A53" s="9" t="s">
        <v>872</v>
      </c>
      <c r="B53" s="9" t="s">
        <v>873</v>
      </c>
      <c r="C53" s="9" t="s">
        <v>874</v>
      </c>
      <c r="D53" s="9" t="s">
        <v>84</v>
      </c>
      <c r="E53" s="9" t="s">
        <v>164</v>
      </c>
      <c r="F53" s="12" t="s">
        <v>875</v>
      </c>
      <c r="G53" s="15" t="n">
        <f aca="false">COUNTIF(Chiffres!$I$5:$I$468,A53)</f>
        <v>0</v>
      </c>
    </row>
    <row r="54" customFormat="false" ht="23.85" hidden="false" customHeight="false" outlineLevel="0" collapsed="false">
      <c r="A54" s="9" t="s">
        <v>876</v>
      </c>
      <c r="B54" s="9" t="s">
        <v>877</v>
      </c>
      <c r="C54" s="9" t="s">
        <v>878</v>
      </c>
      <c r="D54" s="9" t="s">
        <v>879</v>
      </c>
      <c r="E54" s="9" t="s">
        <v>239</v>
      </c>
      <c r="F54" s="9"/>
      <c r="G54" s="15" t="n">
        <f aca="false">COUNTIF(Chiffres!$I$5:$I$468,A54)</f>
        <v>0</v>
      </c>
    </row>
    <row r="55" customFormat="false" ht="23.85" hidden="false" customHeight="false" outlineLevel="0" collapsed="false">
      <c r="A55" s="9" t="s">
        <v>880</v>
      </c>
      <c r="B55" s="9" t="s">
        <v>881</v>
      </c>
      <c r="C55" s="9" t="s">
        <v>882</v>
      </c>
      <c r="D55" s="9" t="s">
        <v>92</v>
      </c>
      <c r="E55" s="9" t="s">
        <v>239</v>
      </c>
      <c r="F55" s="9"/>
      <c r="G55" s="15" t="n">
        <f aca="false">COUNTIF(Chiffres!$I$5:$I$468,A55)</f>
        <v>0</v>
      </c>
    </row>
    <row r="56" customFormat="false" ht="23.85" hidden="false" customHeight="false" outlineLevel="0" collapsed="false">
      <c r="A56" s="9" t="s">
        <v>883</v>
      </c>
      <c r="B56" s="9" t="s">
        <v>884</v>
      </c>
      <c r="C56" s="9" t="s">
        <v>885</v>
      </c>
      <c r="D56" s="9" t="s">
        <v>92</v>
      </c>
      <c r="E56" s="9" t="s">
        <v>98</v>
      </c>
      <c r="F56" s="9"/>
      <c r="G56" s="15" t="n">
        <f aca="false">COUNTIF(Chiffres!$I$5:$I$468,A56)</f>
        <v>0</v>
      </c>
    </row>
    <row r="57" customFormat="false" ht="35.05" hidden="false" customHeight="false" outlineLevel="0" collapsed="false">
      <c r="A57" s="9" t="s">
        <v>371</v>
      </c>
      <c r="B57" s="9" t="s">
        <v>886</v>
      </c>
      <c r="C57" s="9" t="s">
        <v>887</v>
      </c>
      <c r="D57" s="9" t="s">
        <v>301</v>
      </c>
      <c r="E57" s="9" t="s">
        <v>164</v>
      </c>
      <c r="F57" s="12" t="s">
        <v>373</v>
      </c>
      <c r="G57" s="15" t="n">
        <f aca="false">COUNTIF(Chiffres!$I$5:$I$468,A57)</f>
        <v>1</v>
      </c>
    </row>
  </sheetData>
  <autoFilter ref="A4:G57"/>
  <dataValidations count="1">
    <dataValidation allowBlank="true" errorStyle="stop" operator="between" showDropDown="false" showErrorMessage="false" showInputMessage="false" sqref="E5:E157" type="list">
      <formula1>Listes!$B$1:$B$7</formula1>
      <formula2>0</formula2>
    </dataValidation>
  </dataValidations>
  <hyperlinks>
    <hyperlink ref="F5" r:id="rId1" display="https://www.cerema.fr/fr/actualites/accompagner-mutation-zones-commerciales-peripherie"/>
    <hyperlink ref="F6" r:id="rId2" display="https://www.cerema.fr/fr/actualites/donnees-geolocalisation-1500-zones-commerciales-peripherie"/>
    <hyperlink ref="F7" r:id="rId3" display="https://www.cerema.fr/fr/actualites/zones-commerciales-centres-villes-trouver-bon-equilibre"/>
    <hyperlink ref="F8" r:id="rId4" display="https://www.cerema.fr/fr/actualites/potentiel-reindustrialisation-friches"/>
    <hyperlink ref="F9" r:id="rId5" display="https://www.insee.fr/fr/statistiques/5386414"/>
    <hyperlink ref="F10" r:id="rId6" display="https://www.insee.fr/fr/statistiques/4248184"/>
    <hyperlink ref="F11" r:id="rId7" display="https://www.insee.fr/fr/statistiques/8730497"/>
    <hyperlink ref="F12" r:id="rId8" display="https://www.info.gouv.fr/upload/media/content/0001/07/2dc90efc2c1a0e97572bf027240fac63e4dc9d75.pdf"/>
    <hyperlink ref="F13" r:id="rId9" display="https://www.procos.org/images/procos/presse/2025/Conf_0225/procos_dp_120225_site.pdf"/>
    <hyperlink ref="F14" r:id="rId10" display="https://www.entreprises.gouv.fr/files/files/Publications/2025/rapports-activite/ra-cnac-2024.pdf"/>
    <hyperlink ref="F15" r:id="rId11" display="https://www.icade.fr/content/download/7372/file/barom%C3%A8tre-entr%C3%A9es-de-ville-2e-edition-cap-sur-projets.pdf"/>
    <hyperlink ref="F16" r:id="rId12" display="https://www.cae-eco.fr/"/>
    <hyperlink ref="F19" r:id="rId13" display="https://lechommerces.fr/la-vacance-commerciale-progresse-de-nouveau-en-france/"/>
    <hyperlink ref="F20" r:id="rId14" display="https://www.codata.eu/blog/quel-bilan-tirer-du-plan-acv-sur-la-vacance-commerciale-des-centres-villes-de-villes-moyennes/"/>
    <hyperlink ref="F21" r:id="rId15" display="https://pointsdevente.fr/fil-info/2024-05-23-la-hausse-de-la-vacance-commerciale-reprend-dans-les-centres-villes/"/>
    <hyperlink ref="F22" r:id="rId16" display="https://www.publicsenat.fr/actualites/territoires/revitalisation-des-centres-villes-un-rapport-du-senat-pointe-un-sous"/>
    <hyperlink ref="F23" r:id="rId17" display="https://www.cerema.fr/fr/actualites/zones-commerciales-centres-villes-trouver-bon-equilibre"/>
    <hyperlink ref="F24" r:id="rId18" display="https://www.banquedesterritoires.fr/vacance-commerciale-les-remedes-de-linstitut-pour-la-ville-et-le-commerce"/>
    <hyperlink ref="F25" r:id="rId19" display="https://www.banquedesterritoires.fr/la-progression-de-la-vacance-commerciale-ralentit-surtout-dans-les-villes-moyennes"/>
    <hyperlink ref="F26" r:id="rId20" display="https://www.senat.fr/rap/r21-910/r21-9109.html"/>
    <hyperlink ref="F27" r:id="rId21" display="https://www.ccomptes.fr/sites/default/files/2023-10/20230929-politiques-publiques-commerce-proximite.pdf"/>
    <hyperlink ref="F28" r:id="rId22" display="https://www.ccomptes.fr/sites/default/files/EzPublish/07-politique-de-la-ville-RPA2016-Tome-2.pdf"/>
    <hyperlink ref="F29" r:id="rId23" display="https://www.ccomptes.fr/fr/publications/levaluation-de-lattractivite-des-quartiers-prioritaires"/>
    <hyperlink ref="F30" r:id="rId24" display="https://www.aefinfo.fr/depeche/679781-action-coeur-de-ville-un-programme-ambitieux-mais-difficile-a-evaluer-selon-la-cour-des-comptes"/>
    <hyperlink ref="F31" r:id="rId25" display="https://www.banquedesterritoires.fr/sites/default/files/2025-11/Rapport-mission-commerce-de-proximite-centres-villes-QPVf.pdf"/>
    <hyperlink ref="F32" r:id="rId26" display="https://www.entreprises.gouv.fr/la-dge/actualites/mission-sur-lavenir-du-commerce-de-proximite-neuf-mesures-retenues-pour"/>
    <hyperlink ref="F33" r:id="rId27" display="https://www.senat.fr/rap/r06-049-1/r06-049-1_mono.html"/>
    <hyperlink ref="F34" r:id="rId28" display="https://www.onpv.fr/uploads/media_items/onpv-dossier-entreprises-2023.original.pdf"/>
    <hyperlink ref="F35" r:id="rId29" display="https://www.inegalites.fr/Chomage-QPV"/>
    <hyperlink ref="F36" r:id="rId30" display="https://www.inegalites.fr/Les-revenus-et-la-pauvrete-dans-les-quartiers-les-plus-en-difficulte"/>
    <hyperlink ref="F37" r:id="rId31" display="https://anct.gouv.fr/quartiers-prioritaires"/>
    <hyperlink ref="F38" r:id="rId32" display="https://www.anru.fr/la-docutheque/le-commerce-dans-les-quartiers-prioritaires-en-renouvellement-urbain"/>
    <hyperlink ref="F39" r:id="rId33" display="https://anct.gouv.fr/programmes-dispositifs/action-coeur-de-ville"/>
    <hyperlink ref="F40" r:id="rId34" display="https://www.banquedesterritoires.fr/programme-action-coeur-de-ville-2026"/>
    <hyperlink ref="F41" r:id="rId35" display="https://anct.gouv.fr/actualites/petites-villes-de-demain-3-ans-d-engagement-et-11-milliard-d-euros-investis"/>
    <hyperlink ref="F42" r:id="rId36" display="https://www.banquedesterritoires.fr/la-banque-des-territoires-deploie-un-milliard-deuros-pour-soutenir-le-commerce"/>
    <hyperlink ref="F43" r:id="rId37" display="https://www.entreprises.gouv.fr/la-direction-generale-des-entreprises/actualites/annonce-74-laureats-plan-transformation-zones-commerciales"/>
    <hyperlink ref="F44" r:id="rId38" display="https://www.banquedesterritoires.fr/2023-annee-de-transition-de-lamenagement-commercial"/>
    <hyperlink ref="F45" r:id="rId39" display="https://artificialisation.developpement-durable.gouv.fr/actualites/parution-des-donnees-consommation-despaces-naturels-agricoles-et-forestiers-2011-2025"/>
    <hyperlink ref="F46" r:id="rId40" display="https://www.cerema.fr/fr/actualites/artificialisation-sols-quelle-dynamique"/>
    <hyperlink ref="F47" r:id="rId41" display="https://www.assemblee-nationale.fr/dyn/15/rapports/cion-dvp/l15b4968_rapport-information.pdf"/>
    <hyperlink ref="F48" r:id="rId42" display="https://www.lsa-conso.fr/la-peripherie-urbaine-aimante-le-commerce,323561"/>
    <hyperlink ref="F49" r:id="rId43" display="https://www.legifrance.gouv.fr"/>
    <hyperlink ref="F50" r:id="rId44" display="https://www.lsa-conso.fr/l-epareca-aide-les-quartiers-sensibles,34533"/>
    <hyperlink ref="F51" r:id="rId45" display="https://media.anct.gouv.fr/s3fs-public/2024-10/DP_ANCT_LE%20MANS_2024_v4%20(7).pdf"/>
    <hyperlink ref="F52" r:id="rId46" display="https://www.vie-publique.fr/rapport/24822-le-developpement-des-activites-commerciales-en-centre-ville-rapport-au"/>
    <hyperlink ref="F53" r:id="rId47" display="https://www.igf.finances.gouv.fr/igf/accueil/nos-activites/rapports-de-missions/liste-de-tous-les-rapports-de-mi/la-revitalisation-commerciale-de.html"/>
    <hyperlink ref="F57" r:id="rId48" display="https://www.ccomptes.fr/fr/publications/le-rapport-public-annuel-2026"/>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49"/>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20"/>
    <col collapsed="false" customWidth="true" hidden="false" outlineLevel="0" max="3" min="3" style="0" width="32"/>
    <col collapsed="false" customWidth="true" hidden="false" outlineLevel="0" max="4" min="4" style="0" width="44"/>
    <col collapsed="false" customWidth="true" hidden="false" outlineLevel="0" max="5" min="5" style="0" width="26"/>
    <col collapsed="false" customWidth="true" hidden="false" outlineLevel="0" max="6" min="6" style="0" width="44"/>
    <col collapsed="false" customWidth="true" hidden="false" outlineLevel="0" max="7" min="7" style="0" width="30"/>
    <col collapsed="false" customWidth="true" hidden="false" outlineLevel="0" max="8" min="8" style="0" width="22"/>
    <col collapsed="false" customWidth="true" hidden="false" outlineLevel="0" max="9" min="9" style="0" width="10"/>
    <col collapsed="false" customWidth="true" hidden="false" outlineLevel="0" max="10" min="10" style="0" width="40"/>
  </cols>
  <sheetData>
    <row r="1" customFormat="false" ht="17.35" hidden="false" customHeight="false" outlineLevel="0" collapsed="false">
      <c r="A1" s="6" t="s">
        <v>888</v>
      </c>
    </row>
    <row r="2" customFormat="false" ht="15" hidden="false" customHeight="false" outlineLevel="0" collapsed="false">
      <c r="A2" s="7" t="s">
        <v>889</v>
      </c>
    </row>
    <row r="4" customFormat="false" ht="31.5" hidden="false" customHeight="true" outlineLevel="0" collapsed="false">
      <c r="A4" s="8" t="s">
        <v>46</v>
      </c>
      <c r="B4" s="8" t="s">
        <v>890</v>
      </c>
      <c r="C4" s="8" t="s">
        <v>891</v>
      </c>
      <c r="D4" s="8" t="s">
        <v>892</v>
      </c>
      <c r="E4" s="8" t="s">
        <v>893</v>
      </c>
      <c r="F4" s="8" t="s">
        <v>894</v>
      </c>
      <c r="G4" s="8" t="s">
        <v>895</v>
      </c>
      <c r="H4" s="8" t="s">
        <v>896</v>
      </c>
      <c r="I4" s="8" t="s">
        <v>897</v>
      </c>
      <c r="J4" s="8" t="s">
        <v>898</v>
      </c>
    </row>
    <row r="5" customFormat="false" ht="23.85" hidden="false" customHeight="false" outlineLevel="0" collapsed="false">
      <c r="A5" s="9" t="n">
        <v>1</v>
      </c>
      <c r="B5" s="9" t="s">
        <v>899</v>
      </c>
      <c r="C5" s="9" t="s">
        <v>900</v>
      </c>
      <c r="D5" s="9" t="s">
        <v>901</v>
      </c>
      <c r="E5" s="9" t="s">
        <v>902</v>
      </c>
      <c r="F5" s="9" t="s">
        <v>903</v>
      </c>
      <c r="G5" s="9" t="s">
        <v>904</v>
      </c>
      <c r="H5" s="9" t="s">
        <v>905</v>
      </c>
      <c r="I5" s="16" t="s">
        <v>906</v>
      </c>
      <c r="J5" s="9" t="s">
        <v>907</v>
      </c>
    </row>
    <row r="6" customFormat="false" ht="23.85" hidden="false" customHeight="false" outlineLevel="0" collapsed="false">
      <c r="A6" s="9" t="n">
        <v>2</v>
      </c>
      <c r="B6" s="9" t="s">
        <v>899</v>
      </c>
      <c r="C6" s="9" t="s">
        <v>908</v>
      </c>
      <c r="D6" s="9" t="s">
        <v>909</v>
      </c>
      <c r="E6" s="9" t="s">
        <v>910</v>
      </c>
      <c r="F6" s="9" t="s">
        <v>911</v>
      </c>
      <c r="G6" s="9" t="s">
        <v>912</v>
      </c>
      <c r="H6" s="9" t="s">
        <v>905</v>
      </c>
      <c r="I6" s="16" t="s">
        <v>906</v>
      </c>
      <c r="J6" s="9" t="s">
        <v>913</v>
      </c>
    </row>
    <row r="7" customFormat="false" ht="35.05" hidden="false" customHeight="false" outlineLevel="0" collapsed="false">
      <c r="A7" s="9" t="n">
        <v>3</v>
      </c>
      <c r="B7" s="9" t="s">
        <v>899</v>
      </c>
      <c r="C7" s="9" t="s">
        <v>914</v>
      </c>
      <c r="D7" s="9" t="s">
        <v>915</v>
      </c>
      <c r="E7" s="9" t="s">
        <v>916</v>
      </c>
      <c r="F7" s="9" t="s">
        <v>917</v>
      </c>
      <c r="G7" s="9" t="s">
        <v>918</v>
      </c>
      <c r="H7" s="9" t="s">
        <v>905</v>
      </c>
      <c r="I7" s="16" t="s">
        <v>906</v>
      </c>
      <c r="J7" s="9" t="s">
        <v>919</v>
      </c>
    </row>
    <row r="8" customFormat="false" ht="35.05" hidden="false" customHeight="false" outlineLevel="0" collapsed="false">
      <c r="A8" s="9" t="n">
        <v>4</v>
      </c>
      <c r="B8" s="9" t="s">
        <v>899</v>
      </c>
      <c r="C8" s="9" t="s">
        <v>920</v>
      </c>
      <c r="D8" s="9" t="s">
        <v>921</v>
      </c>
      <c r="E8" s="9" t="s">
        <v>922</v>
      </c>
      <c r="F8" s="9" t="s">
        <v>923</v>
      </c>
      <c r="G8" s="9" t="s">
        <v>924</v>
      </c>
      <c r="H8" s="9" t="s">
        <v>905</v>
      </c>
      <c r="I8" s="16" t="s">
        <v>906</v>
      </c>
      <c r="J8" s="9" t="s">
        <v>925</v>
      </c>
    </row>
    <row r="9" customFormat="false" ht="23.85" hidden="false" customHeight="false" outlineLevel="0" collapsed="false">
      <c r="A9" s="9" t="n">
        <v>5</v>
      </c>
      <c r="B9" s="9" t="s">
        <v>899</v>
      </c>
      <c r="C9" s="9" t="s">
        <v>926</v>
      </c>
      <c r="D9" s="9" t="s">
        <v>927</v>
      </c>
      <c r="E9" s="9" t="s">
        <v>928</v>
      </c>
      <c r="F9" s="9" t="s">
        <v>929</v>
      </c>
      <c r="G9" s="9" t="s">
        <v>930</v>
      </c>
      <c r="H9" s="9" t="s">
        <v>931</v>
      </c>
      <c r="I9" s="17" t="s">
        <v>932</v>
      </c>
      <c r="J9" s="9" t="s">
        <v>933</v>
      </c>
    </row>
    <row r="10" customFormat="false" ht="23.85" hidden="false" customHeight="false" outlineLevel="0" collapsed="false">
      <c r="A10" s="9" t="n">
        <v>6</v>
      </c>
      <c r="B10" s="9" t="s">
        <v>899</v>
      </c>
      <c r="C10" s="9" t="s">
        <v>934</v>
      </c>
      <c r="D10" s="9" t="s">
        <v>935</v>
      </c>
      <c r="E10" s="9" t="s">
        <v>928</v>
      </c>
      <c r="F10" s="9" t="s">
        <v>936</v>
      </c>
      <c r="G10" s="9" t="s">
        <v>937</v>
      </c>
      <c r="H10" s="9" t="s">
        <v>905</v>
      </c>
      <c r="I10" s="17" t="s">
        <v>932</v>
      </c>
      <c r="J10" s="9" t="s">
        <v>938</v>
      </c>
    </row>
    <row r="11" customFormat="false" ht="23.85" hidden="false" customHeight="false" outlineLevel="0" collapsed="false">
      <c r="A11" s="9" t="n">
        <v>7</v>
      </c>
      <c r="B11" s="9" t="s">
        <v>899</v>
      </c>
      <c r="C11" s="9" t="s">
        <v>939</v>
      </c>
      <c r="D11" s="9" t="s">
        <v>940</v>
      </c>
      <c r="E11" s="9" t="s">
        <v>775</v>
      </c>
      <c r="F11" s="9" t="s">
        <v>941</v>
      </c>
      <c r="G11" s="9" t="s">
        <v>942</v>
      </c>
      <c r="H11" s="9" t="s">
        <v>905</v>
      </c>
      <c r="I11" s="16" t="s">
        <v>906</v>
      </c>
      <c r="J11" s="9" t="s">
        <v>943</v>
      </c>
    </row>
    <row r="12" customFormat="false" ht="23.85" hidden="false" customHeight="false" outlineLevel="0" collapsed="false">
      <c r="A12" s="9" t="n">
        <v>8</v>
      </c>
      <c r="B12" s="9" t="s">
        <v>899</v>
      </c>
      <c r="C12" s="9" t="s">
        <v>944</v>
      </c>
      <c r="D12" s="9" t="s">
        <v>945</v>
      </c>
      <c r="E12" s="9" t="s">
        <v>946</v>
      </c>
      <c r="F12" s="9" t="s">
        <v>947</v>
      </c>
      <c r="G12" s="9" t="s">
        <v>948</v>
      </c>
      <c r="H12" s="9" t="s">
        <v>905</v>
      </c>
      <c r="I12" s="17" t="s">
        <v>932</v>
      </c>
      <c r="J12" s="9" t="s">
        <v>949</v>
      </c>
    </row>
    <row r="13" customFormat="false" ht="23.85" hidden="false" customHeight="false" outlineLevel="0" collapsed="false">
      <c r="A13" s="9" t="n">
        <v>9</v>
      </c>
      <c r="B13" s="9" t="s">
        <v>899</v>
      </c>
      <c r="C13" s="9" t="s">
        <v>950</v>
      </c>
      <c r="D13" s="9" t="s">
        <v>951</v>
      </c>
      <c r="E13" s="9" t="s">
        <v>952</v>
      </c>
      <c r="F13" s="9" t="s">
        <v>953</v>
      </c>
      <c r="G13" s="9" t="s">
        <v>954</v>
      </c>
      <c r="H13" s="9" t="s">
        <v>905</v>
      </c>
      <c r="I13" s="17" t="s">
        <v>932</v>
      </c>
      <c r="J13" s="9" t="s">
        <v>955</v>
      </c>
    </row>
    <row r="14" customFormat="false" ht="23.85" hidden="false" customHeight="false" outlineLevel="0" collapsed="false">
      <c r="A14" s="9" t="n">
        <v>10</v>
      </c>
      <c r="B14" s="9" t="s">
        <v>899</v>
      </c>
      <c r="C14" s="9" t="s">
        <v>956</v>
      </c>
      <c r="D14" s="9" t="s">
        <v>957</v>
      </c>
      <c r="E14" s="9" t="s">
        <v>928</v>
      </c>
      <c r="F14" s="9" t="s">
        <v>958</v>
      </c>
      <c r="G14" s="9" t="s">
        <v>959</v>
      </c>
      <c r="H14" s="9" t="s">
        <v>960</v>
      </c>
      <c r="I14" s="17" t="s">
        <v>932</v>
      </c>
      <c r="J14" s="9" t="s">
        <v>961</v>
      </c>
    </row>
    <row r="15" customFormat="false" ht="23.85" hidden="false" customHeight="false" outlineLevel="0" collapsed="false">
      <c r="A15" s="9" t="n">
        <v>11</v>
      </c>
      <c r="B15" s="9" t="s">
        <v>899</v>
      </c>
      <c r="C15" s="9" t="s">
        <v>962</v>
      </c>
      <c r="D15" s="9" t="s">
        <v>963</v>
      </c>
      <c r="E15" s="9" t="s">
        <v>964</v>
      </c>
      <c r="F15" s="9" t="s">
        <v>965</v>
      </c>
      <c r="G15" s="9" t="s">
        <v>959</v>
      </c>
      <c r="H15" s="9" t="s">
        <v>966</v>
      </c>
      <c r="I15" s="17" t="s">
        <v>932</v>
      </c>
      <c r="J15" s="9" t="s">
        <v>967</v>
      </c>
    </row>
    <row r="16" customFormat="false" ht="35.05" hidden="false" customHeight="false" outlineLevel="0" collapsed="false">
      <c r="A16" s="9" t="n">
        <v>12</v>
      </c>
      <c r="B16" s="9" t="s">
        <v>899</v>
      </c>
      <c r="C16" s="9" t="s">
        <v>968</v>
      </c>
      <c r="D16" s="9" t="s">
        <v>969</v>
      </c>
      <c r="E16" s="9" t="s">
        <v>970</v>
      </c>
      <c r="F16" s="9" t="s">
        <v>971</v>
      </c>
      <c r="G16" s="9" t="s">
        <v>972</v>
      </c>
      <c r="H16" s="9" t="s">
        <v>973</v>
      </c>
      <c r="I16" s="17" t="s">
        <v>932</v>
      </c>
      <c r="J16" s="9" t="s">
        <v>974</v>
      </c>
    </row>
    <row r="17" customFormat="false" ht="23.85" hidden="false" customHeight="false" outlineLevel="0" collapsed="false">
      <c r="A17" s="9" t="n">
        <v>13</v>
      </c>
      <c r="B17" s="9" t="s">
        <v>899</v>
      </c>
      <c r="C17" s="9" t="s">
        <v>975</v>
      </c>
      <c r="D17" s="9" t="s">
        <v>976</v>
      </c>
      <c r="E17" s="9" t="s">
        <v>977</v>
      </c>
      <c r="F17" s="9" t="s">
        <v>978</v>
      </c>
      <c r="G17" s="9" t="s">
        <v>979</v>
      </c>
      <c r="H17" s="9" t="s">
        <v>973</v>
      </c>
      <c r="I17" s="16" t="s">
        <v>906</v>
      </c>
      <c r="J17" s="9" t="s">
        <v>980</v>
      </c>
    </row>
    <row r="18" customFormat="false" ht="23.85" hidden="false" customHeight="false" outlineLevel="0" collapsed="false">
      <c r="A18" s="9" t="n">
        <v>14</v>
      </c>
      <c r="B18" s="9" t="s">
        <v>899</v>
      </c>
      <c r="C18" s="9" t="s">
        <v>981</v>
      </c>
      <c r="D18" s="9" t="s">
        <v>982</v>
      </c>
      <c r="E18" s="9" t="s">
        <v>983</v>
      </c>
      <c r="F18" s="9" t="s">
        <v>984</v>
      </c>
      <c r="G18" s="9" t="s">
        <v>985</v>
      </c>
      <c r="H18" s="9" t="s">
        <v>905</v>
      </c>
      <c r="I18" s="18" t="s">
        <v>986</v>
      </c>
      <c r="J18" s="9" t="s">
        <v>987</v>
      </c>
    </row>
    <row r="19" customFormat="false" ht="15" hidden="false" customHeight="false" outlineLevel="0" collapsed="false">
      <c r="A19" s="9" t="n">
        <v>15</v>
      </c>
      <c r="B19" s="9" t="s">
        <v>899</v>
      </c>
      <c r="C19" s="9" t="s">
        <v>988</v>
      </c>
      <c r="D19" s="9" t="s">
        <v>989</v>
      </c>
      <c r="E19" s="9" t="s">
        <v>990</v>
      </c>
      <c r="F19" s="9" t="s">
        <v>991</v>
      </c>
      <c r="G19" s="9" t="s">
        <v>992</v>
      </c>
      <c r="H19" s="9" t="s">
        <v>905</v>
      </c>
      <c r="I19" s="16" t="s">
        <v>906</v>
      </c>
      <c r="J19" s="9" t="s">
        <v>993</v>
      </c>
    </row>
    <row r="20" customFormat="false" ht="23.85" hidden="false" customHeight="false" outlineLevel="0" collapsed="false">
      <c r="A20" s="9" t="n">
        <v>16</v>
      </c>
      <c r="B20" s="9" t="s">
        <v>899</v>
      </c>
      <c r="C20" s="9" t="s">
        <v>994</v>
      </c>
      <c r="D20" s="9" t="s">
        <v>995</v>
      </c>
      <c r="E20" s="9" t="s">
        <v>996</v>
      </c>
      <c r="F20" s="9" t="s">
        <v>997</v>
      </c>
      <c r="G20" s="9" t="s">
        <v>998</v>
      </c>
      <c r="H20" s="9" t="s">
        <v>905</v>
      </c>
      <c r="I20" s="18" t="s">
        <v>986</v>
      </c>
      <c r="J20" s="9" t="s">
        <v>999</v>
      </c>
    </row>
    <row r="21" customFormat="false" ht="23.85" hidden="false" customHeight="false" outlineLevel="0" collapsed="false">
      <c r="A21" s="9" t="n">
        <v>17</v>
      </c>
      <c r="B21" s="9" t="s">
        <v>1000</v>
      </c>
      <c r="C21" s="9" t="s">
        <v>1001</v>
      </c>
      <c r="D21" s="9" t="s">
        <v>1002</v>
      </c>
      <c r="E21" s="9" t="s">
        <v>815</v>
      </c>
      <c r="F21" s="9" t="s">
        <v>1003</v>
      </c>
      <c r="G21" s="9" t="s">
        <v>1004</v>
      </c>
      <c r="H21" s="9" t="s">
        <v>1005</v>
      </c>
      <c r="I21" s="16" t="s">
        <v>906</v>
      </c>
      <c r="J21" s="9" t="s">
        <v>1006</v>
      </c>
    </row>
    <row r="22" customFormat="false" ht="23.85" hidden="false" customHeight="false" outlineLevel="0" collapsed="false">
      <c r="A22" s="9" t="n">
        <v>18</v>
      </c>
      <c r="B22" s="9" t="s">
        <v>1000</v>
      </c>
      <c r="C22" s="9" t="s">
        <v>1007</v>
      </c>
      <c r="D22" s="9" t="s">
        <v>1008</v>
      </c>
      <c r="E22" s="9" t="s">
        <v>1009</v>
      </c>
      <c r="F22" s="9" t="s">
        <v>1010</v>
      </c>
      <c r="G22" s="9" t="s">
        <v>959</v>
      </c>
      <c r="H22" s="9" t="s">
        <v>1011</v>
      </c>
      <c r="I22" s="16" t="s">
        <v>906</v>
      </c>
      <c r="J22" s="9" t="s">
        <v>1012</v>
      </c>
    </row>
    <row r="23" customFormat="false" ht="23.85" hidden="false" customHeight="false" outlineLevel="0" collapsed="false">
      <c r="A23" s="9" t="n">
        <v>19</v>
      </c>
      <c r="B23" s="9" t="s">
        <v>1000</v>
      </c>
      <c r="C23" s="9" t="s">
        <v>1013</v>
      </c>
      <c r="D23" s="9" t="s">
        <v>1014</v>
      </c>
      <c r="E23" s="9" t="s">
        <v>843</v>
      </c>
      <c r="F23" s="9" t="s">
        <v>1015</v>
      </c>
      <c r="G23" s="9" t="s">
        <v>959</v>
      </c>
      <c r="H23" s="9" t="s">
        <v>1016</v>
      </c>
      <c r="I23" s="16" t="s">
        <v>906</v>
      </c>
      <c r="J23" s="9" t="s">
        <v>1017</v>
      </c>
    </row>
    <row r="24" customFormat="false" ht="23.85" hidden="false" customHeight="false" outlineLevel="0" collapsed="false">
      <c r="A24" s="9" t="n">
        <v>20</v>
      </c>
      <c r="B24" s="9" t="s">
        <v>1000</v>
      </c>
      <c r="C24" s="9" t="s">
        <v>1018</v>
      </c>
      <c r="D24" s="9" t="s">
        <v>1019</v>
      </c>
      <c r="E24" s="9" t="s">
        <v>831</v>
      </c>
      <c r="F24" s="9" t="s">
        <v>1020</v>
      </c>
      <c r="G24" s="9" t="s">
        <v>959</v>
      </c>
      <c r="H24" s="9" t="s">
        <v>1021</v>
      </c>
      <c r="I24" s="17" t="s">
        <v>932</v>
      </c>
      <c r="J24" s="9" t="s">
        <v>1022</v>
      </c>
    </row>
    <row r="25" customFormat="false" ht="23.85" hidden="false" customHeight="false" outlineLevel="0" collapsed="false">
      <c r="A25" s="9" t="n">
        <v>21</v>
      </c>
      <c r="B25" s="9" t="s">
        <v>1000</v>
      </c>
      <c r="C25" s="9" t="s">
        <v>1023</v>
      </c>
      <c r="D25" s="9" t="s">
        <v>1024</v>
      </c>
      <c r="E25" s="9" t="s">
        <v>1025</v>
      </c>
      <c r="F25" s="9" t="s">
        <v>1026</v>
      </c>
      <c r="G25" s="9" t="s">
        <v>959</v>
      </c>
      <c r="H25" s="9" t="s">
        <v>1027</v>
      </c>
      <c r="I25" s="17" t="s">
        <v>932</v>
      </c>
      <c r="J25" s="9" t="s">
        <v>1028</v>
      </c>
    </row>
    <row r="26" customFormat="false" ht="23.85" hidden="false" customHeight="false" outlineLevel="0" collapsed="false">
      <c r="A26" s="9" t="n">
        <v>22</v>
      </c>
      <c r="B26" s="9" t="s">
        <v>1000</v>
      </c>
      <c r="C26" s="9" t="s">
        <v>1029</v>
      </c>
      <c r="D26" s="9" t="s">
        <v>1030</v>
      </c>
      <c r="E26" s="9" t="s">
        <v>928</v>
      </c>
      <c r="F26" s="9" t="s">
        <v>1031</v>
      </c>
      <c r="G26" s="9" t="s">
        <v>1032</v>
      </c>
      <c r="H26" s="9" t="s">
        <v>1033</v>
      </c>
      <c r="I26" s="16" t="s">
        <v>906</v>
      </c>
      <c r="J26" s="9" t="s">
        <v>1034</v>
      </c>
    </row>
    <row r="27" customFormat="false" ht="23.85" hidden="false" customHeight="false" outlineLevel="0" collapsed="false">
      <c r="A27" s="9" t="n">
        <v>23</v>
      </c>
      <c r="B27" s="9" t="s">
        <v>1000</v>
      </c>
      <c r="C27" s="9" t="s">
        <v>1035</v>
      </c>
      <c r="D27" s="9" t="s">
        <v>1036</v>
      </c>
      <c r="E27" s="9" t="s">
        <v>1037</v>
      </c>
      <c r="F27" s="9" t="s">
        <v>1038</v>
      </c>
      <c r="G27" s="9" t="s">
        <v>1039</v>
      </c>
      <c r="H27" s="9" t="s">
        <v>1040</v>
      </c>
      <c r="I27" s="17" t="s">
        <v>932</v>
      </c>
      <c r="J27" s="9" t="s">
        <v>1041</v>
      </c>
    </row>
    <row r="28" customFormat="false" ht="23.85" hidden="false" customHeight="false" outlineLevel="0" collapsed="false">
      <c r="A28" s="9" t="n">
        <v>24</v>
      </c>
      <c r="B28" s="9" t="s">
        <v>1000</v>
      </c>
      <c r="C28" s="9" t="s">
        <v>1042</v>
      </c>
      <c r="D28" s="9" t="s">
        <v>1043</v>
      </c>
      <c r="E28" s="9" t="s">
        <v>796</v>
      </c>
      <c r="F28" s="9" t="s">
        <v>1044</v>
      </c>
      <c r="G28" s="9" t="s">
        <v>1045</v>
      </c>
      <c r="H28" s="9" t="s">
        <v>1046</v>
      </c>
      <c r="I28" s="17" t="s">
        <v>932</v>
      </c>
      <c r="J28" s="9" t="s">
        <v>1047</v>
      </c>
    </row>
    <row r="29" customFormat="false" ht="23.85" hidden="false" customHeight="false" outlineLevel="0" collapsed="false">
      <c r="A29" s="9" t="n">
        <v>25</v>
      </c>
      <c r="B29" s="9" t="s">
        <v>1000</v>
      </c>
      <c r="C29" s="9" t="s">
        <v>1048</v>
      </c>
      <c r="D29" s="9" t="s">
        <v>1049</v>
      </c>
      <c r="E29" s="9" t="s">
        <v>1050</v>
      </c>
      <c r="F29" s="9" t="s">
        <v>1051</v>
      </c>
      <c r="G29" s="9" t="s">
        <v>1052</v>
      </c>
      <c r="H29" s="9" t="s">
        <v>1053</v>
      </c>
      <c r="I29" s="18" t="s">
        <v>986</v>
      </c>
      <c r="J29" s="9" t="s">
        <v>1054</v>
      </c>
    </row>
  </sheetData>
  <autoFilter ref="A4:J29"/>
  <dataValidations count="1">
    <dataValidation allowBlank="true" errorStyle="stop" operator="between" showDropDown="false" showErrorMessage="false" showInputMessage="false" sqref="I5:I129" type="list">
      <formula1>"Haute,Moyenne,Basse"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60"/>
    <col collapsed="false" customWidth="true" hidden="false" outlineLevel="0" max="3" min="3" style="0" width="12"/>
    <col collapsed="false" customWidth="true" hidden="false" outlineLevel="0" max="4" min="4" style="0" width="18"/>
    <col collapsed="false" customWidth="true" hidden="false" outlineLevel="0" max="5" min="5" style="0" width="12"/>
    <col collapsed="false" customWidth="true" hidden="false" outlineLevel="0" max="6" min="6" style="0" width="60"/>
    <col collapsed="false" customWidth="true" hidden="false" outlineLevel="0" max="7" min="7" style="0" width="40"/>
  </cols>
  <sheetData>
    <row r="1" customFormat="false" ht="17.35" hidden="false" customHeight="false" outlineLevel="0" collapsed="false">
      <c r="A1" s="6" t="s">
        <v>1055</v>
      </c>
    </row>
    <row r="2" customFormat="false" ht="15" hidden="false" customHeight="false" outlineLevel="0" collapsed="false">
      <c r="A2" s="7" t="s">
        <v>1056</v>
      </c>
    </row>
    <row r="4" customFormat="false" ht="31.5" hidden="false" customHeight="true" outlineLevel="0" collapsed="false">
      <c r="A4" s="8" t="s">
        <v>46</v>
      </c>
      <c r="B4" s="8" t="s">
        <v>15</v>
      </c>
      <c r="C4" s="8" t="s">
        <v>48</v>
      </c>
      <c r="D4" s="8" t="s">
        <v>49</v>
      </c>
      <c r="E4" s="8" t="s">
        <v>1057</v>
      </c>
      <c r="F4" s="8" t="s">
        <v>1058</v>
      </c>
      <c r="G4" s="8" t="s">
        <v>1059</v>
      </c>
    </row>
    <row r="5" customFormat="false" ht="23.85" hidden="false" customHeight="false" outlineLevel="0" collapsed="false">
      <c r="A5" s="9" t="n">
        <v>1</v>
      </c>
      <c r="B5" s="9" t="s">
        <v>1060</v>
      </c>
      <c r="C5" s="10" t="n">
        <v>28742</v>
      </c>
      <c r="D5" s="9" t="s">
        <v>233</v>
      </c>
      <c r="E5" s="9" t="s">
        <v>1061</v>
      </c>
      <c r="F5" s="9" t="s">
        <v>1062</v>
      </c>
      <c r="G5" s="9" t="s">
        <v>1063</v>
      </c>
    </row>
    <row r="6" customFormat="false" ht="23.85" hidden="false" customHeight="false" outlineLevel="0" collapsed="false">
      <c r="A6" s="9" t="n">
        <v>2</v>
      </c>
      <c r="B6" s="9" t="s">
        <v>1064</v>
      </c>
      <c r="C6" s="10" t="n">
        <v>35775</v>
      </c>
      <c r="D6" s="9" t="s">
        <v>233</v>
      </c>
      <c r="E6" s="9" t="s">
        <v>297</v>
      </c>
      <c r="F6" s="9" t="s">
        <v>1065</v>
      </c>
      <c r="G6" s="9" t="s">
        <v>1063</v>
      </c>
    </row>
    <row r="7" customFormat="false" ht="23.85" hidden="false" customHeight="false" outlineLevel="0" collapsed="false">
      <c r="A7" s="9" t="n">
        <v>3</v>
      </c>
      <c r="B7" s="9" t="s">
        <v>1066</v>
      </c>
      <c r="C7" s="19" t="n">
        <v>24.5</v>
      </c>
      <c r="D7" s="9" t="s">
        <v>83</v>
      </c>
      <c r="E7" s="9" t="s">
        <v>1067</v>
      </c>
      <c r="F7" s="9" t="s">
        <v>1065</v>
      </c>
      <c r="G7" s="9" t="s">
        <v>1063</v>
      </c>
    </row>
    <row r="8" customFormat="false" ht="23.85" hidden="false" customHeight="false" outlineLevel="0" collapsed="false">
      <c r="A8" s="9" t="n">
        <v>4</v>
      </c>
      <c r="B8" s="9" t="s">
        <v>1068</v>
      </c>
      <c r="C8" s="10" t="n">
        <v>61526</v>
      </c>
      <c r="D8" s="9" t="s">
        <v>233</v>
      </c>
      <c r="E8" s="9" t="s">
        <v>1061</v>
      </c>
      <c r="F8" s="9" t="s">
        <v>1069</v>
      </c>
      <c r="G8" s="9" t="s">
        <v>1063</v>
      </c>
    </row>
    <row r="9" customFormat="false" ht="23.85" hidden="false" customHeight="false" outlineLevel="0" collapsed="false">
      <c r="A9" s="9" t="n">
        <v>5</v>
      </c>
      <c r="B9" s="9" t="s">
        <v>1068</v>
      </c>
      <c r="C9" s="10" t="n">
        <v>55973</v>
      </c>
      <c r="D9" s="9" t="s">
        <v>233</v>
      </c>
      <c r="E9" s="9" t="s">
        <v>297</v>
      </c>
      <c r="F9" s="9" t="s">
        <v>1065</v>
      </c>
      <c r="G9" s="9" t="s">
        <v>1063</v>
      </c>
    </row>
    <row r="10" customFormat="false" ht="23.85" hidden="false" customHeight="false" outlineLevel="0" collapsed="false">
      <c r="A10" s="9" t="n">
        <v>6</v>
      </c>
      <c r="B10" s="9" t="s">
        <v>1070</v>
      </c>
      <c r="C10" s="19" t="n">
        <v>-9</v>
      </c>
      <c r="D10" s="9" t="s">
        <v>83</v>
      </c>
      <c r="E10" s="9" t="s">
        <v>1067</v>
      </c>
      <c r="F10" s="9" t="s">
        <v>1065</v>
      </c>
      <c r="G10" s="9" t="s">
        <v>1063</v>
      </c>
    </row>
    <row r="11" customFormat="false" ht="23.85" hidden="false" customHeight="false" outlineLevel="0" collapsed="false">
      <c r="A11" s="9" t="n">
        <v>7</v>
      </c>
      <c r="B11" s="9" t="s">
        <v>1071</v>
      </c>
      <c r="C11" s="10" t="n">
        <v>12964</v>
      </c>
      <c r="D11" s="9" t="s">
        <v>233</v>
      </c>
      <c r="E11" s="9" t="s">
        <v>1061</v>
      </c>
      <c r="F11" s="9" t="s">
        <v>1072</v>
      </c>
      <c r="G11" s="9" t="s">
        <v>1063</v>
      </c>
    </row>
    <row r="12" customFormat="false" ht="23.85" hidden="false" customHeight="false" outlineLevel="0" collapsed="false">
      <c r="A12" s="9" t="n">
        <v>8</v>
      </c>
      <c r="B12" s="9" t="s">
        <v>1071</v>
      </c>
      <c r="C12" s="10" t="n">
        <v>12169</v>
      </c>
      <c r="D12" s="9" t="s">
        <v>233</v>
      </c>
      <c r="E12" s="9" t="s">
        <v>297</v>
      </c>
      <c r="F12" s="9" t="s">
        <v>1065</v>
      </c>
      <c r="G12" s="9" t="s">
        <v>1063</v>
      </c>
    </row>
    <row r="13" customFormat="false" ht="23.85" hidden="false" customHeight="false" outlineLevel="0" collapsed="false">
      <c r="A13" s="9" t="n">
        <v>9</v>
      </c>
      <c r="B13" s="9" t="s">
        <v>1073</v>
      </c>
      <c r="C13" s="19" t="n">
        <v>-6.1</v>
      </c>
      <c r="D13" s="9" t="s">
        <v>83</v>
      </c>
      <c r="E13" s="9" t="s">
        <v>1067</v>
      </c>
      <c r="F13" s="9" t="s">
        <v>1065</v>
      </c>
      <c r="G13" s="9" t="s">
        <v>1063</v>
      </c>
    </row>
    <row r="14" customFormat="false" ht="23.85" hidden="false" customHeight="false" outlineLevel="0" collapsed="false">
      <c r="A14" s="9" t="n">
        <v>10</v>
      </c>
      <c r="B14" s="9" t="s">
        <v>1074</v>
      </c>
      <c r="C14" s="19" t="n">
        <v>35.4</v>
      </c>
      <c r="D14" s="9" t="s">
        <v>83</v>
      </c>
      <c r="E14" s="9" t="s">
        <v>1067</v>
      </c>
      <c r="F14" s="9" t="s">
        <v>1075</v>
      </c>
      <c r="G14" s="9" t="s">
        <v>1063</v>
      </c>
    </row>
    <row r="15" customFormat="false" ht="23.85" hidden="false" customHeight="false" outlineLevel="0" collapsed="false">
      <c r="A15" s="9" t="n">
        <v>11</v>
      </c>
      <c r="B15" s="9" t="s">
        <v>1076</v>
      </c>
      <c r="C15" s="19" t="n">
        <v>-2.6</v>
      </c>
      <c r="D15" s="9" t="s">
        <v>83</v>
      </c>
      <c r="E15" s="9" t="s">
        <v>1067</v>
      </c>
      <c r="F15" s="9" t="s">
        <v>1065</v>
      </c>
      <c r="G15" s="9" t="s">
        <v>1063</v>
      </c>
    </row>
    <row r="16" customFormat="false" ht="23.85" hidden="false" customHeight="false" outlineLevel="0" collapsed="false">
      <c r="A16" s="9" t="n">
        <v>12</v>
      </c>
      <c r="B16" s="9" t="s">
        <v>1077</v>
      </c>
      <c r="C16" s="19" t="n">
        <v>4.6</v>
      </c>
      <c r="D16" s="9" t="s">
        <v>83</v>
      </c>
      <c r="E16" s="9" t="s">
        <v>1067</v>
      </c>
      <c r="F16" s="9" t="s">
        <v>1065</v>
      </c>
      <c r="G16" s="9" t="s">
        <v>1063</v>
      </c>
    </row>
    <row r="17" customFormat="false" ht="23.85" hidden="false" customHeight="false" outlineLevel="0" collapsed="false">
      <c r="A17" s="9" t="n">
        <v>13</v>
      </c>
      <c r="B17" s="9" t="s">
        <v>1078</v>
      </c>
      <c r="C17" s="19" t="n">
        <v>3.07</v>
      </c>
      <c r="D17" s="9" t="s">
        <v>177</v>
      </c>
      <c r="E17" s="9" t="s">
        <v>1079</v>
      </c>
      <c r="F17" s="9" t="s">
        <v>1065</v>
      </c>
      <c r="G17" s="9" t="s">
        <v>1063</v>
      </c>
    </row>
    <row r="18" customFormat="false" ht="23.85" hidden="false" customHeight="false" outlineLevel="0" collapsed="false">
      <c r="A18" s="9" t="n">
        <v>14</v>
      </c>
      <c r="B18" s="9" t="s">
        <v>1078</v>
      </c>
      <c r="C18" s="19" t="n">
        <v>0.31</v>
      </c>
      <c r="D18" s="9" t="s">
        <v>177</v>
      </c>
      <c r="E18" s="9" t="s">
        <v>1080</v>
      </c>
      <c r="F18" s="9" t="s">
        <v>1065</v>
      </c>
      <c r="G18" s="9" t="s">
        <v>1063</v>
      </c>
    </row>
    <row r="19" customFormat="false" ht="23.85" hidden="false" customHeight="false" outlineLevel="0" collapsed="false">
      <c r="A19" s="9" t="n">
        <v>15</v>
      </c>
      <c r="B19" s="9" t="s">
        <v>1081</v>
      </c>
      <c r="C19" s="19" t="n">
        <v>-1.15</v>
      </c>
      <c r="D19" s="9" t="s">
        <v>177</v>
      </c>
      <c r="E19" s="9" t="s">
        <v>1080</v>
      </c>
      <c r="F19" s="9" t="s">
        <v>1065</v>
      </c>
      <c r="G19" s="9" t="s">
        <v>1063</v>
      </c>
    </row>
    <row r="20" customFormat="false" ht="23.85" hidden="false" customHeight="false" outlineLevel="0" collapsed="false">
      <c r="A20" s="9" t="n">
        <v>16</v>
      </c>
      <c r="B20" s="9" t="s">
        <v>1082</v>
      </c>
      <c r="C20" s="19" t="n">
        <v>-16.5</v>
      </c>
      <c r="D20" s="9" t="s">
        <v>1083</v>
      </c>
      <c r="E20" s="9" t="s">
        <v>1067</v>
      </c>
      <c r="F20" s="9" t="s">
        <v>1084</v>
      </c>
      <c r="G20" s="9" t="s">
        <v>1063</v>
      </c>
    </row>
    <row r="21" customFormat="false" ht="23.85" hidden="false" customHeight="false" outlineLevel="0" collapsed="false">
      <c r="A21" s="9" t="n">
        <v>17</v>
      </c>
      <c r="B21" s="9" t="s">
        <v>1085</v>
      </c>
      <c r="C21" s="19" t="n">
        <v>-25.3</v>
      </c>
      <c r="D21" s="9" t="s">
        <v>83</v>
      </c>
      <c r="E21" s="9" t="s">
        <v>1067</v>
      </c>
      <c r="F21" s="9" t="s">
        <v>1086</v>
      </c>
      <c r="G21" s="9" t="s">
        <v>1063</v>
      </c>
    </row>
    <row r="22" customFormat="false" ht="23.85" hidden="false" customHeight="false" outlineLevel="0" collapsed="false">
      <c r="A22" s="9" t="n">
        <v>18</v>
      </c>
      <c r="B22" s="9" t="s">
        <v>1087</v>
      </c>
      <c r="C22" s="19" t="n">
        <v>-42.4</v>
      </c>
      <c r="D22" s="9" t="s">
        <v>83</v>
      </c>
      <c r="E22" s="9" t="s">
        <v>1067</v>
      </c>
      <c r="F22" s="9" t="s">
        <v>1088</v>
      </c>
      <c r="G22" s="9" t="s">
        <v>1063</v>
      </c>
    </row>
    <row r="23" customFormat="false" ht="23.85" hidden="false" customHeight="false" outlineLevel="0" collapsed="false">
      <c r="A23" s="9" t="n">
        <v>19</v>
      </c>
      <c r="B23" s="9" t="s">
        <v>1089</v>
      </c>
      <c r="C23" s="19" t="n">
        <v>-5.6</v>
      </c>
      <c r="D23" s="9" t="s">
        <v>83</v>
      </c>
      <c r="E23" s="9" t="s">
        <v>1090</v>
      </c>
      <c r="F23" s="9" t="s">
        <v>1091</v>
      </c>
      <c r="G23" s="9" t="s">
        <v>1063</v>
      </c>
    </row>
    <row r="24" customFormat="false" ht="23.85" hidden="false" customHeight="false" outlineLevel="0" collapsed="false">
      <c r="A24" s="9" t="n">
        <v>20</v>
      </c>
      <c r="B24" s="9" t="s">
        <v>1092</v>
      </c>
      <c r="C24" s="10" t="n">
        <v>89</v>
      </c>
      <c r="D24" s="9" t="s">
        <v>83</v>
      </c>
      <c r="E24" s="9" t="s">
        <v>388</v>
      </c>
      <c r="F24" s="9" t="s">
        <v>1093</v>
      </c>
      <c r="G24" s="9" t="s">
        <v>1063</v>
      </c>
    </row>
    <row r="25" customFormat="false" ht="23.85" hidden="false" customHeight="false" outlineLevel="0" collapsed="false">
      <c r="A25" s="9" t="n">
        <v>21</v>
      </c>
      <c r="B25" s="9" t="s">
        <v>1094</v>
      </c>
      <c r="C25" s="19" t="n">
        <v>0.26</v>
      </c>
      <c r="D25" s="9" t="s">
        <v>1095</v>
      </c>
      <c r="E25" s="9" t="s">
        <v>1067</v>
      </c>
      <c r="F25" s="9" t="s">
        <v>1096</v>
      </c>
      <c r="G25" s="9" t="s">
        <v>1063</v>
      </c>
    </row>
    <row r="26" customFormat="false" ht="23.85" hidden="false" customHeight="false" outlineLevel="0" collapsed="false">
      <c r="A26" s="9" t="n">
        <v>22</v>
      </c>
      <c r="B26" s="9" t="s">
        <v>1097</v>
      </c>
      <c r="C26" s="19" t="n">
        <v>-0.08</v>
      </c>
      <c r="D26" s="9" t="s">
        <v>1098</v>
      </c>
      <c r="E26" s="9" t="s">
        <v>1067</v>
      </c>
      <c r="F26" s="9" t="s">
        <v>1099</v>
      </c>
      <c r="G26" s="9" t="s">
        <v>1063</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4"/>
    <col collapsed="false" customWidth="true" hidden="false" outlineLevel="0" max="5" min="2" style="0" width="12"/>
    <col collapsed="false" customWidth="true" hidden="false" outlineLevel="0" max="6" min="6" style="0" width="14"/>
    <col collapsed="false" customWidth="true" hidden="false" outlineLevel="0" max="7" min="7" style="0" width="10"/>
  </cols>
  <sheetData>
    <row r="1" customFormat="false" ht="17.35" hidden="false" customHeight="false" outlineLevel="0" collapsed="false">
      <c r="A1" s="6" t="s">
        <v>1100</v>
      </c>
    </row>
    <row r="2" customFormat="false" ht="15" hidden="false" customHeight="false" outlineLevel="0" collapsed="false">
      <c r="A2" s="7" t="s">
        <v>1101</v>
      </c>
    </row>
    <row r="4" customFormat="false" ht="31.5" hidden="false" customHeight="true" outlineLevel="0" collapsed="false">
      <c r="A4" s="8" t="s">
        <v>47</v>
      </c>
      <c r="B4" s="8" t="s">
        <v>1102</v>
      </c>
      <c r="C4" s="8" t="s">
        <v>1103</v>
      </c>
      <c r="D4" s="8" t="s">
        <v>1104</v>
      </c>
      <c r="E4" s="8" t="s">
        <v>1105</v>
      </c>
      <c r="F4" s="8" t="s">
        <v>1106</v>
      </c>
      <c r="G4" s="8" t="s">
        <v>1107</v>
      </c>
    </row>
    <row r="5" customFormat="false" ht="15" hidden="false" customHeight="false" outlineLevel="0" collapsed="false">
      <c r="A5" s="20" t="s">
        <v>57</v>
      </c>
      <c r="B5" s="21" t="n">
        <f aca="false">COUNTIFS(Chiffres!$B$5:$B$468,$A5,Chiffres!$M$5:$M$468,"A - Relu dans la source primaire")</f>
        <v>14</v>
      </c>
      <c r="C5" s="21" t="n">
        <f aca="false">COUNTIFS(Chiffres!$B$5:$B$468,$A5,Chiffres!$M$5:$M$468,"B - Source primaire consultée pendant la recherche (non relue)")</f>
        <v>0</v>
      </c>
      <c r="D5" s="21" t="n">
        <f aca="false">COUNTIFS(Chiffres!$B$5:$B$468,$A5,Chiffres!$M$5:$M$468,"C - Via un relais (presse, synthèse, autre rapport)")</f>
        <v>1</v>
      </c>
      <c r="E5" s="21" t="n">
        <f aca="false">COUNTIFS(Chiffres!$B$5:$B$468,$A5,Chiffres!$M$5:$M$468,"D - Non vérifié : origine à confirmer")</f>
        <v>2</v>
      </c>
      <c r="F5" s="21" t="n">
        <f aca="false">COUNTIFS(Chiffres!$B$5:$B$468,$A5,Chiffres!$M$5:$M$468,"E - Repris de la présentation OCDE (non revérifié)")</f>
        <v>3</v>
      </c>
      <c r="G5" s="22" t="n">
        <f aca="false">SUM(B5:F5)</f>
        <v>20</v>
      </c>
    </row>
    <row r="6" customFormat="false" ht="15" hidden="false" customHeight="false" outlineLevel="0" collapsed="false">
      <c r="A6" s="20" t="s">
        <v>175</v>
      </c>
      <c r="B6" s="21" t="n">
        <f aca="false">COUNTIFS(Chiffres!$B$5:$B$468,$A6,Chiffres!$M$5:$M$468,"A - Relu dans la source primaire")</f>
        <v>18</v>
      </c>
      <c r="C6" s="21" t="n">
        <f aca="false">COUNTIFS(Chiffres!$B$5:$B$468,$A6,Chiffres!$M$5:$M$468,"B - Source primaire consultée pendant la recherche (non relue)")</f>
        <v>0</v>
      </c>
      <c r="D6" s="21" t="n">
        <f aca="false">COUNTIFS(Chiffres!$B$5:$B$468,$A6,Chiffres!$M$5:$M$468,"C - Via un relais (presse, synthèse, autre rapport)")</f>
        <v>0</v>
      </c>
      <c r="E6" s="21" t="n">
        <f aca="false">COUNTIFS(Chiffres!$B$5:$B$468,$A6,Chiffres!$M$5:$M$468,"D - Non vérifié : origine à confirmer")</f>
        <v>0</v>
      </c>
      <c r="F6" s="21" t="n">
        <f aca="false">COUNTIFS(Chiffres!$B$5:$B$468,$A6,Chiffres!$M$5:$M$468,"E - Repris de la présentation OCDE (non revérifié)")</f>
        <v>0</v>
      </c>
      <c r="G6" s="22" t="n">
        <f aca="false">SUM(B6:F6)</f>
        <v>18</v>
      </c>
    </row>
    <row r="7" customFormat="false" ht="15" hidden="false" customHeight="false" outlineLevel="0" collapsed="false">
      <c r="A7" s="20" t="s">
        <v>241</v>
      </c>
      <c r="B7" s="21" t="n">
        <f aca="false">COUNTIFS(Chiffres!$B$5:$B$468,$A7,Chiffres!$M$5:$M$468,"A - Relu dans la source primaire")</f>
        <v>10</v>
      </c>
      <c r="C7" s="21" t="n">
        <f aca="false">COUNTIFS(Chiffres!$B$5:$B$468,$A7,Chiffres!$M$5:$M$468,"B - Source primaire consultée pendant la recherche (non relue)")</f>
        <v>0</v>
      </c>
      <c r="D7" s="21" t="n">
        <f aca="false">COUNTIFS(Chiffres!$B$5:$B$468,$A7,Chiffres!$M$5:$M$468,"C - Via un relais (presse, synthèse, autre rapport)")</f>
        <v>10</v>
      </c>
      <c r="E7" s="21" t="n">
        <f aca="false">COUNTIFS(Chiffres!$B$5:$B$468,$A7,Chiffres!$M$5:$M$468,"D - Non vérifié : origine à confirmer")</f>
        <v>6</v>
      </c>
      <c r="F7" s="21" t="n">
        <f aca="false">COUNTIFS(Chiffres!$B$5:$B$468,$A7,Chiffres!$M$5:$M$468,"E - Repris de la présentation OCDE (non revérifié)")</f>
        <v>1</v>
      </c>
      <c r="G7" s="22" t="n">
        <f aca="false">SUM(B7:F7)</f>
        <v>27</v>
      </c>
    </row>
    <row r="8" customFormat="false" ht="15" hidden="false" customHeight="false" outlineLevel="0" collapsed="false">
      <c r="A8" s="20" t="s">
        <v>375</v>
      </c>
      <c r="B8" s="21" t="n">
        <f aca="false">COUNTIFS(Chiffres!$B$5:$B$468,$A8,Chiffres!$M$5:$M$468,"A - Relu dans la source primaire")</f>
        <v>11</v>
      </c>
      <c r="C8" s="21" t="n">
        <f aca="false">COUNTIFS(Chiffres!$B$5:$B$468,$A8,Chiffres!$M$5:$M$468,"B - Source primaire consultée pendant la recherche (non relue)")</f>
        <v>0</v>
      </c>
      <c r="D8" s="21" t="n">
        <f aca="false">COUNTIFS(Chiffres!$B$5:$B$468,$A8,Chiffres!$M$5:$M$468,"C - Via un relais (presse, synthèse, autre rapport)")</f>
        <v>2</v>
      </c>
      <c r="E8" s="21" t="n">
        <f aca="false">COUNTIFS(Chiffres!$B$5:$B$468,$A8,Chiffres!$M$5:$M$468,"D - Non vérifié : origine à confirmer")</f>
        <v>0</v>
      </c>
      <c r="F8" s="21" t="n">
        <f aca="false">COUNTIFS(Chiffres!$B$5:$B$468,$A8,Chiffres!$M$5:$M$468,"E - Repris de la présentation OCDE (non revérifié)")</f>
        <v>0</v>
      </c>
      <c r="G8" s="22" t="n">
        <f aca="false">SUM(B8:F8)</f>
        <v>13</v>
      </c>
    </row>
    <row r="9" customFormat="false" ht="15" hidden="false" customHeight="false" outlineLevel="0" collapsed="false">
      <c r="A9" s="20" t="s">
        <v>424</v>
      </c>
      <c r="B9" s="21" t="n">
        <f aca="false">COUNTIFS(Chiffres!$B$5:$B$468,$A9,Chiffres!$M$5:$M$468,"A - Relu dans la source primaire")</f>
        <v>5</v>
      </c>
      <c r="C9" s="21" t="n">
        <f aca="false">COUNTIFS(Chiffres!$B$5:$B$468,$A9,Chiffres!$M$5:$M$468,"B - Source primaire consultée pendant la recherche (non relue)")</f>
        <v>1</v>
      </c>
      <c r="D9" s="21" t="n">
        <f aca="false">COUNTIFS(Chiffres!$B$5:$B$468,$A9,Chiffres!$M$5:$M$468,"C - Via un relais (presse, synthèse, autre rapport)")</f>
        <v>4</v>
      </c>
      <c r="E9" s="21" t="n">
        <f aca="false">COUNTIFS(Chiffres!$B$5:$B$468,$A9,Chiffres!$M$5:$M$468,"D - Non vérifié : origine à confirmer")</f>
        <v>1</v>
      </c>
      <c r="F9" s="21" t="n">
        <f aca="false">COUNTIFS(Chiffres!$B$5:$B$468,$A9,Chiffres!$M$5:$M$468,"E - Repris de la présentation OCDE (non revérifié)")</f>
        <v>0</v>
      </c>
      <c r="G9" s="22" t="n">
        <f aca="false">SUM(B9:F9)</f>
        <v>11</v>
      </c>
    </row>
    <row r="10" customFormat="false" ht="15" hidden="false" customHeight="false" outlineLevel="0" collapsed="false">
      <c r="A10" s="20" t="s">
        <v>490</v>
      </c>
      <c r="B10" s="21" t="n">
        <f aca="false">COUNTIFS(Chiffres!$B$5:$B$468,$A10,Chiffres!$M$5:$M$468,"A - Relu dans la source primaire")</f>
        <v>15</v>
      </c>
      <c r="C10" s="21" t="n">
        <f aca="false">COUNTIFS(Chiffres!$B$5:$B$468,$A10,Chiffres!$M$5:$M$468,"B - Source primaire consultée pendant la recherche (non relue)")</f>
        <v>0</v>
      </c>
      <c r="D10" s="21" t="n">
        <f aca="false">COUNTIFS(Chiffres!$B$5:$B$468,$A10,Chiffres!$M$5:$M$468,"C - Via un relais (presse, synthèse, autre rapport)")</f>
        <v>3</v>
      </c>
      <c r="E10" s="21" t="n">
        <f aca="false">COUNTIFS(Chiffres!$B$5:$B$468,$A10,Chiffres!$M$5:$M$468,"D - Non vérifié : origine à confirmer")</f>
        <v>0</v>
      </c>
      <c r="F10" s="21" t="n">
        <f aca="false">COUNTIFS(Chiffres!$B$5:$B$468,$A10,Chiffres!$M$5:$M$468,"E - Repris de la présentation OCDE (non revérifié)")</f>
        <v>0</v>
      </c>
      <c r="G10" s="22" t="n">
        <f aca="false">SUM(B10:F10)</f>
        <v>18</v>
      </c>
    </row>
    <row r="11" customFormat="false" ht="15" hidden="false" customHeight="false" outlineLevel="0" collapsed="false">
      <c r="A11" s="20" t="s">
        <v>537</v>
      </c>
      <c r="B11" s="21" t="n">
        <f aca="false">COUNTIFS(Chiffres!$B$5:$B$468,$A11,Chiffres!$M$5:$M$468,"A - Relu dans la source primaire")</f>
        <v>1</v>
      </c>
      <c r="C11" s="21" t="n">
        <f aca="false">COUNTIFS(Chiffres!$B$5:$B$468,$A11,Chiffres!$M$5:$M$468,"B - Source primaire consultée pendant la recherche (non relue)")</f>
        <v>0</v>
      </c>
      <c r="D11" s="21" t="n">
        <f aca="false">COUNTIFS(Chiffres!$B$5:$B$468,$A11,Chiffres!$M$5:$M$468,"C - Via un relais (presse, synthèse, autre rapport)")</f>
        <v>5</v>
      </c>
      <c r="E11" s="21" t="n">
        <f aca="false">COUNTIFS(Chiffres!$B$5:$B$468,$A11,Chiffres!$M$5:$M$468,"D - Non vérifié : origine à confirmer")</f>
        <v>0</v>
      </c>
      <c r="F11" s="21" t="n">
        <f aca="false">COUNTIFS(Chiffres!$B$5:$B$468,$A11,Chiffres!$M$5:$M$468,"E - Repris de la présentation OCDE (non revérifié)")</f>
        <v>0</v>
      </c>
      <c r="G11" s="22" t="n">
        <f aca="false">SUM(B11:F11)</f>
        <v>6</v>
      </c>
    </row>
    <row r="12" customFormat="false" ht="15" hidden="false" customHeight="false" outlineLevel="0" collapsed="false">
      <c r="A12" s="20" t="s">
        <v>568</v>
      </c>
      <c r="B12" s="21" t="n">
        <f aca="false">COUNTIFS(Chiffres!$B$5:$B$468,$A12,Chiffres!$M$5:$M$468,"A - Relu dans la source primaire")</f>
        <v>4</v>
      </c>
      <c r="C12" s="21" t="n">
        <f aca="false">COUNTIFS(Chiffres!$B$5:$B$468,$A12,Chiffres!$M$5:$M$468,"B - Source primaire consultée pendant la recherche (non relue)")</f>
        <v>0</v>
      </c>
      <c r="D12" s="21" t="n">
        <f aca="false">COUNTIFS(Chiffres!$B$5:$B$468,$A12,Chiffres!$M$5:$M$468,"C - Via un relais (presse, synthèse, autre rapport)")</f>
        <v>0</v>
      </c>
      <c r="E12" s="21" t="n">
        <f aca="false">COUNTIFS(Chiffres!$B$5:$B$468,$A12,Chiffres!$M$5:$M$468,"D - Non vérifié : origine à confirmer")</f>
        <v>1</v>
      </c>
      <c r="F12" s="21" t="n">
        <f aca="false">COUNTIFS(Chiffres!$B$5:$B$468,$A12,Chiffres!$M$5:$M$468,"E - Repris de la présentation OCDE (non revérifié)")</f>
        <v>0</v>
      </c>
      <c r="G12" s="22" t="n">
        <f aca="false">SUM(B12:F12)</f>
        <v>5</v>
      </c>
    </row>
    <row r="13" customFormat="false" ht="15" hidden="false" customHeight="false" outlineLevel="0" collapsed="false">
      <c r="A13" s="20" t="s">
        <v>598</v>
      </c>
      <c r="B13" s="21" t="n">
        <f aca="false">COUNTIFS(Chiffres!$B$5:$B$468,$A13,Chiffres!$M$5:$M$468,"A - Relu dans la source primaire")</f>
        <v>11</v>
      </c>
      <c r="C13" s="21" t="n">
        <f aca="false">COUNTIFS(Chiffres!$B$5:$B$468,$A13,Chiffres!$M$5:$M$468,"B - Source primaire consultée pendant la recherche (non relue)")</f>
        <v>0</v>
      </c>
      <c r="D13" s="21" t="n">
        <f aca="false">COUNTIFS(Chiffres!$B$5:$B$468,$A13,Chiffres!$M$5:$M$468,"C - Via un relais (presse, synthèse, autre rapport)")</f>
        <v>6</v>
      </c>
      <c r="E13" s="21" t="n">
        <f aca="false">COUNTIFS(Chiffres!$B$5:$B$468,$A13,Chiffres!$M$5:$M$468,"D - Non vérifié : origine à confirmer")</f>
        <v>0</v>
      </c>
      <c r="F13" s="21" t="n">
        <f aca="false">COUNTIFS(Chiffres!$B$5:$B$468,$A13,Chiffres!$M$5:$M$468,"E - Repris de la présentation OCDE (non revérifié)")</f>
        <v>1</v>
      </c>
      <c r="G13" s="22" t="n">
        <f aca="false">SUM(B13:F13)</f>
        <v>18</v>
      </c>
    </row>
    <row r="14" customFormat="false" ht="15" hidden="false" customHeight="false" outlineLevel="0" collapsed="false">
      <c r="A14" s="20" t="s">
        <v>633</v>
      </c>
      <c r="B14" s="21" t="n">
        <f aca="false">COUNTIFS(Chiffres!$B$5:$B$468,$A14,Chiffres!$M$5:$M$468,"A - Relu dans la source primaire")</f>
        <v>19</v>
      </c>
      <c r="C14" s="21" t="n">
        <f aca="false">COUNTIFS(Chiffres!$B$5:$B$468,$A14,Chiffres!$M$5:$M$468,"B - Source primaire consultée pendant la recherche (non relue)")</f>
        <v>0</v>
      </c>
      <c r="D14" s="21" t="n">
        <f aca="false">COUNTIFS(Chiffres!$B$5:$B$468,$A14,Chiffres!$M$5:$M$468,"C - Via un relais (presse, synthèse, autre rapport)")</f>
        <v>1</v>
      </c>
      <c r="E14" s="21" t="n">
        <f aca="false">COUNTIFS(Chiffres!$B$5:$B$468,$A14,Chiffres!$M$5:$M$468,"D - Non vérifié : origine à confirmer")</f>
        <v>5</v>
      </c>
      <c r="F14" s="21" t="n">
        <f aca="false">COUNTIFS(Chiffres!$B$5:$B$468,$A14,Chiffres!$M$5:$M$468,"E - Repris de la présentation OCDE (non revérifié)")</f>
        <v>1</v>
      </c>
      <c r="G14" s="22" t="n">
        <f aca="false">SUM(B14:F14)</f>
        <v>26</v>
      </c>
    </row>
    <row r="15" customFormat="false" ht="15" hidden="false" customHeight="false" outlineLevel="0" collapsed="false">
      <c r="A15" s="20" t="s">
        <v>757</v>
      </c>
      <c r="B15" s="21" t="n">
        <f aca="false">COUNTIFS(Chiffres!$B$5:$B$468,$A15,Chiffres!$M$5:$M$468,"A - Relu dans la source primaire")</f>
        <v>0</v>
      </c>
      <c r="C15" s="21" t="n">
        <f aca="false">COUNTIFS(Chiffres!$B$5:$B$468,$A15,Chiffres!$M$5:$M$468,"B - Source primaire consultée pendant la recherche (non relue)")</f>
        <v>0</v>
      </c>
      <c r="D15" s="21" t="n">
        <f aca="false">COUNTIFS(Chiffres!$B$5:$B$468,$A15,Chiffres!$M$5:$M$468,"C - Via un relais (presse, synthèse, autre rapport)")</f>
        <v>2</v>
      </c>
      <c r="E15" s="21" t="n">
        <f aca="false">COUNTIFS(Chiffres!$B$5:$B$468,$A15,Chiffres!$M$5:$M$468,"D - Non vérifié : origine à confirmer")</f>
        <v>0</v>
      </c>
      <c r="F15" s="21" t="n">
        <f aca="false">COUNTIFS(Chiffres!$B$5:$B$468,$A15,Chiffres!$M$5:$M$468,"E - Repris de la présentation OCDE (non revérifié)")</f>
        <v>0</v>
      </c>
      <c r="G15" s="22" t="n">
        <f aca="false">SUM(B15:F15)</f>
        <v>2</v>
      </c>
    </row>
    <row r="16" customFormat="false" ht="15" hidden="false" customHeight="false" outlineLevel="0" collapsed="false">
      <c r="A16" s="23" t="s">
        <v>1107</v>
      </c>
      <c r="B16" s="24" t="n">
        <f aca="false">SUM(B5:B15)</f>
        <v>108</v>
      </c>
      <c r="C16" s="24" t="n">
        <f aca="false">SUM(C5:C15)</f>
        <v>1</v>
      </c>
      <c r="D16" s="24" t="n">
        <f aca="false">SUM(D5:D15)</f>
        <v>34</v>
      </c>
      <c r="E16" s="24" t="n">
        <f aca="false">SUM(E5:E15)</f>
        <v>15</v>
      </c>
      <c r="F16" s="24" t="n">
        <f aca="false">SUM(F5:F15)</f>
        <v>6</v>
      </c>
      <c r="G16" s="24" t="n">
        <f aca="false">SUM(G5:G15)</f>
        <v>164</v>
      </c>
    </row>
    <row r="18" customFormat="false" ht="15" hidden="false" customHeight="false" outlineLevel="0" collapsed="false">
      <c r="A18" s="7" t="s">
        <v>1108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1" customFormat="false" ht="15" hidden="false" customHeight="false" outlineLevel="0" collapsed="false">
      <c r="A1" s="0" t="s">
        <v>57</v>
      </c>
      <c r="B1" s="0" t="s">
        <v>98</v>
      </c>
      <c r="C1" s="0" t="s">
        <v>28</v>
      </c>
    </row>
    <row r="2" customFormat="false" ht="15" hidden="false" customHeight="false" outlineLevel="0" collapsed="false">
      <c r="A2" s="0" t="s">
        <v>175</v>
      </c>
      <c r="B2" s="0" t="s">
        <v>164</v>
      </c>
      <c r="C2" s="0" t="s">
        <v>30</v>
      </c>
    </row>
    <row r="3" customFormat="false" ht="15" hidden="false" customHeight="false" outlineLevel="0" collapsed="false">
      <c r="A3" s="0" t="s">
        <v>241</v>
      </c>
      <c r="B3" s="0" t="s">
        <v>66</v>
      </c>
      <c r="C3" s="0" t="s">
        <v>32</v>
      </c>
    </row>
    <row r="4" customFormat="false" ht="15" hidden="false" customHeight="false" outlineLevel="0" collapsed="false">
      <c r="A4" s="0" t="s">
        <v>375</v>
      </c>
      <c r="B4" s="0" t="s">
        <v>136</v>
      </c>
      <c r="C4" s="0" t="s">
        <v>34</v>
      </c>
    </row>
    <row r="5" customFormat="false" ht="15" hidden="false" customHeight="false" outlineLevel="0" collapsed="false">
      <c r="A5" s="0" t="s">
        <v>424</v>
      </c>
      <c r="B5" s="0" t="s">
        <v>172</v>
      </c>
      <c r="C5" s="0" t="s">
        <v>36</v>
      </c>
    </row>
    <row r="6" customFormat="false" ht="15" hidden="false" customHeight="false" outlineLevel="0" collapsed="false">
      <c r="A6" s="0" t="s">
        <v>490</v>
      </c>
      <c r="B6" s="0" t="s">
        <v>239</v>
      </c>
    </row>
    <row r="7" customFormat="false" ht="15" hidden="false" customHeight="false" outlineLevel="0" collapsed="false">
      <c r="A7" s="0" t="s">
        <v>537</v>
      </c>
      <c r="B7" s="0" t="s">
        <v>545</v>
      </c>
    </row>
    <row r="8" customFormat="false" ht="15" hidden="false" customHeight="false" outlineLevel="0" collapsed="false">
      <c r="A8" s="0" t="s">
        <v>568</v>
      </c>
    </row>
    <row r="9" customFormat="false" ht="15" hidden="false" customHeight="false" outlineLevel="0" collapsed="false">
      <c r="A9" s="0" t="s">
        <v>598</v>
      </c>
    </row>
    <row r="10" customFormat="false" ht="15" hidden="false" customHeight="false" outlineLevel="0" collapsed="false">
      <c r="A10" s="0" t="s">
        <v>633</v>
      </c>
    </row>
    <row r="11" customFormat="false" ht="15" hidden="false" customHeight="false" outlineLevel="0" collapsed="false">
      <c r="A11" s="0" t="s">
        <v>757</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2026-10-01T15:33:21Z</dcterms:created>
  <dc:creator>openpyxl</dc:creator>
  <dc:description/>
  <dc:language>en-US</dc:language>
  <cp:lastModifiedBy/>
  <dcterms:modified xsi:type="dcterms:W3CDTF">2026-10-01T15:33:21Z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