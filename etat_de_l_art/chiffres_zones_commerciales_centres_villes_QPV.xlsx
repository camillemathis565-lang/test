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Chiffres" sheetId="2" state="visible" r:id="rId4"/>
    <sheet name="Sources" sheetId="3" state="visible" r:id="rId5"/>
    <sheet name="Données manquantes" sheetId="4" state="visible" r:id="rId6"/>
    <sheet name="Calculs propres (Sirene)" sheetId="5" state="visible" r:id="rId7"/>
    <sheet name="Synthèse" sheetId="6" state="visible" r:id="rId8"/>
    <sheet name="Listes" sheetId="7" state="hidden" r:id="rId9"/>
  </sheets>
  <definedNames>
    <definedName function="false" hidden="true" localSheetId="1" name="_xlnm._FilterDatabase" vbProcedure="false">Chiffres!$A$4:$O$156</definedName>
    <definedName function="false" hidden="true" localSheetId="3" name="_xlnm._FilterDatabase" vbProcedure="false">'Données manquantes'!$A$4:$J$30</definedName>
    <definedName function="false" hidden="true" localSheetId="2" name="_xlnm._FilterDatabase" vbProcedure="false">Sources!$A$4:$G$57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<sst xmlns="http://schemas.openxmlformats.org/spreadsheetml/2006/main" count="2674" uniqueCount="1039">
  <si>
    <t xml:space="preserve">Zones commerciales périphériques, centres-villes et QPV : base de chiffres pour l'état de l'art</t>
  </si>
  <si>
    <t xml:space="preserve">Étude de cas France, OCDE (division PME). Version du 1er octobre 2026.</t>
  </si>
  <si>
    <t xml:space="preserve">Objet</t>
  </si>
  <si>
    <t xml:space="preserve">Rassembler les chiffres publiés sur le développement des zones commerciales périphériques et sur la situation des centres-villes et des QPV. Les chiffres ne sont pas comparés ni combinés entre eux : chacun est rattaché à sa source, à son année et à ce qu'il mesure.</t>
  </si>
  <si>
    <t xml:space="preserve">Onglet « Chiffres »</t>
  </si>
  <si>
    <t xml:space="preserve">Un chiffre par ligne. Filtrer par thème, par source ou par niveau de vérification avec les flèches de l'en-tête.</t>
  </si>
  <si>
    <t xml:space="preserve">Onglet « Sources »</t>
  </si>
  <si>
    <t xml:space="preserve">Liste des documents, avec le nombre de chiffres repris dans l'onglet « Chiffres » (calculé automatiquement).</t>
  </si>
  <si>
    <t xml:space="preserve">Onglet « Données manquantes »</t>
  </si>
  <si>
    <t xml:space="preserve">Données et documents qui manquent pour évaluer pleinement l'influence des zones périphériques sur les centres-villes et les QPV, avec le détenteur, l'accès et une démarche suggérée.</t>
  </si>
  <si>
    <t xml:space="preserve">Onglet « Calculs propres (Sirene) »</t>
  </si>
  <si>
    <t xml:space="preserve">Nos propres calculs sur le répertoire Sirene (2012-2025). Ce ne sont pas des chiffres publiés : à présenter séparément de l'état de l'art.</t>
  </si>
  <si>
    <t xml:space="preserve">Onglet « Synthèse »</t>
  </si>
  <si>
    <t xml:space="preserve">Décompte des chiffres par thème et par niveau de vérification (formules).</t>
  </si>
  <si>
    <t xml:space="preserve">Colonnes de l'onglet « Chiffres »</t>
  </si>
  <si>
    <t xml:space="preserve">Indicateur</t>
  </si>
  <si>
    <t xml:space="preserve">Ce qui est mesuré, formulé de façon à être compris hors contexte.</t>
  </si>
  <si>
    <t xml:space="preserve">Valeur / Unité</t>
  </si>
  <si>
    <t xml:space="preserve">Valeur telle que publiée. Les pourcentages sont saisis en points (65 = 65 %). Une valeur textuelle signale une fourchette ou un ratio.</t>
  </si>
  <si>
    <t xml:space="preserve">Année(s) de référence</t>
  </si>
  <si>
    <t xml:space="preserve">Année ou période à laquelle se rapporte le chiffre (et non l'année de publication).</t>
  </si>
  <si>
    <t xml:space="preserve">Territoire</t>
  </si>
  <si>
    <t xml:space="preserve">Champ géographique couvert.</t>
  </si>
  <si>
    <t xml:space="preserve">Ce que le chiffre prend en compte</t>
  </si>
  <si>
    <t xml:space="preserve">Définition, champ statistique, panel : c'est la colonne à lire avant de rapprocher deux chiffres.</t>
  </si>
  <si>
    <t xml:space="preserve">Vérification</t>
  </si>
  <si>
    <t xml:space="preserve">Niveau de confiance dans la reprise du chiffre (voir légende ci-dessous).</t>
  </si>
  <si>
    <t xml:space="preserve">Légende : vérification</t>
  </si>
  <si>
    <t xml:space="preserve">A - Relu dans la source primaire</t>
  </si>
  <si>
    <t xml:space="preserve">Chiffre relu le 1er octobre 2026 dans le document d'origine.</t>
  </si>
  <si>
    <t xml:space="preserve">B - Source primaire consultée pendant la recherche (non relue)</t>
  </si>
  <si>
    <t xml:space="preserve">Chiffre relevé sur la page ou le document d'origine pendant la recherche documentaire, sans nouvelle relecture.</t>
  </si>
  <si>
    <t xml:space="preserve">C - Via un relais (presse, synthèse, autre rapport)</t>
  </si>
  <si>
    <t xml:space="preserve">Chiffre lu dans un document qui cite la source d'origine (article de presse, synthèse, autre rapport).</t>
  </si>
  <si>
    <t xml:space="preserve">D - Non vérifié : origine à confirmer</t>
  </si>
  <si>
    <t xml:space="preserve">Origine du chiffre non identifiée ou chiffre issu d'une synthèse automatique : à vérifier avant toute citation.</t>
  </si>
  <si>
    <t xml:space="preserve">E - Repris de la présentation OCDE (non revérifié)</t>
  </si>
  <si>
    <t xml:space="preserve">Chiffre repris de la présentation OCDE (diapositives), avec les sources indiquées sur la diapositive, non revérifié ici.</t>
  </si>
  <si>
    <t xml:space="preserve">Ajouter un chiffre</t>
  </si>
  <si>
    <t xml:space="preserve">Insérer une ligne dans l'onglet « Chiffres », renseigner toutes les colonnes et utiliser une référence de l'onglet « Sources » (ajouter la source si elle est nouvelle). Les listes déroulantes « Thème », « Type de source » et « Vérification » garantissent des catégories homogènes.</t>
  </si>
  <si>
    <t xml:space="preserve">Précautions</t>
  </si>
  <si>
    <t xml:space="preserve">Plusieurs indicateurs proches ont des champs différents (ex. vacance « tous sites », « rues marchandes », « centres-villes ACV » ; surfaces CDAC selon la CNAC ou selon Kyris / Procos). Comparer uniquement des chiffres de même champ et de même source.</t>
  </si>
  <si>
    <t xml:space="preserve">Chiffres publiés</t>
  </si>
  <si>
    <t xml:space="preserve">Un chiffre par ligne. Pourcentages saisis en points (65 = 65 %).</t>
  </si>
  <si>
    <t xml:space="preserve">N°</t>
  </si>
  <si>
    <t xml:space="preserve">Thème</t>
  </si>
  <si>
    <t xml:space="preserve">Valeur</t>
  </si>
  <si>
    <t xml:space="preserve">Unité</t>
  </si>
  <si>
    <t xml:space="preserve">Ce que le chiffre prend en compte (champ, définition)</t>
  </si>
  <si>
    <t xml:space="preserve">Réf. source</t>
  </si>
  <si>
    <t xml:space="preserve">Source</t>
  </si>
  <si>
    <t xml:space="preserve">Date de publication</t>
  </si>
  <si>
    <t xml:space="preserve">Type de source</t>
  </si>
  <si>
    <t xml:space="preserve">Lien</t>
  </si>
  <si>
    <t xml:space="preserve">Remarques</t>
  </si>
  <si>
    <t xml:space="preserve">1. Poids des zones commerciales périphériques</t>
  </si>
  <si>
    <t xml:space="preserve">Nombre de zones commerciales de périphérie</t>
  </si>
  <si>
    <t xml:space="preserve">zones</t>
  </si>
  <si>
    <t xml:space="preserve">2022-2023</t>
  </si>
  <si>
    <t xml:space="preserve">France</t>
  </si>
  <si>
    <t xml:space="preserve">Inventaire national du Cerema (photo-interprétation et fichiers fonciers). Ordre de grandeur : « 1 500 zones recensées ».</t>
  </si>
  <si>
    <t xml:space="preserve">S01</t>
  </si>
  <si>
    <t xml:space="preserve">Cerema, Accompagner la mutation des zones commerciales de périphérie</t>
  </si>
  <si>
    <t xml:space="preserve">19/05/2025</t>
  </si>
  <si>
    <t xml:space="preserve">Administration / opérateur public</t>
  </si>
  <si>
    <t xml:space="preserve">https://www.cerema.fr/fr/actualites/accompagner-mutation-zones-commerciales-peripherie</t>
  </si>
  <si>
    <t xml:space="preserve">Surface couverte par ces zones</t>
  </si>
  <si>
    <t xml:space="preserve">millions de m²</t>
  </si>
  <si>
    <t xml:space="preserve">Emprise des zones (« cinq fois la superficie de Paris »). Ne correspond pas à la surface de vente : inclut vraisemblablement bâti, parkings et voiries.</t>
  </si>
  <si>
    <t xml:space="preserve">Même chiffre dans le dossier de presse du Gouvernement (S08).</t>
  </si>
  <si>
    <t xml:space="preserve">Nombre de contours retenus dans la base EmpCom</t>
  </si>
  <si>
    <t xml:space="preserve">contours</t>
  </si>
  <si>
    <t xml:space="preserve">inventaire 2022, publié 02/2023</t>
  </si>
  <si>
    <t xml:space="preserve">France métropolitaine</t>
  </si>
  <si>
    <t xml:space="preserve">Emprises de plus de 20 000 m² de surface bâtie, et surface commerciale &gt; 60 000 m² ou entre 25 000 et 150 000 m² avec &gt; 15 000 m² de surface commerciale.</t>
  </si>
  <si>
    <t xml:space="preserve">S02</t>
  </si>
  <si>
    <t xml:space="preserve">Cerema, Les données de géolocalisation des 1500 zones commerciales de périphérie sont en open data (base EmpCom)</t>
  </si>
  <si>
    <t xml:space="preserve">23/01/2024</t>
  </si>
  <si>
    <t xml:space="preserve">https://www.cerema.fr/fr/actualites/donnees-geolocalisation-1500-zones-commerciales-peripherie</t>
  </si>
  <si>
    <t xml:space="preserve">Base en open data (DataFoncier, data.gouv.fr).</t>
  </si>
  <si>
    <t xml:space="preserve">Part des déplacements en voiture vers les zones commerciales périphériques, métropoles</t>
  </si>
  <si>
    <t xml:space="preserve">%</t>
  </si>
  <si>
    <t xml:space="preserve">s.d.</t>
  </si>
  <si>
    <t xml:space="preserve">Métropoles</t>
  </si>
  <si>
    <t xml:space="preserve">Part de la voiture individuelle dans les déplacements à destination des zones commerciales périphériques.</t>
  </si>
  <si>
    <t xml:space="preserve">Source de l'enquête de mobilité non précisée sur la page.</t>
  </si>
  <si>
    <t xml:space="preserve">Part des déplacements en voiture vers les zones commerciales périphériques, villes moyennes</t>
  </si>
  <si>
    <t xml:space="preserve">Villes moyennes</t>
  </si>
  <si>
    <t xml:space="preserve">Idem, villes moyennes.</t>
  </si>
  <si>
    <t xml:space="preserve">Part de la surface commerciale des pôles située dans les pôles de périphérie</t>
  </si>
  <si>
    <t xml:space="preserve">2015</t>
  </si>
  <si>
    <t xml:space="preserve">France métropolitaine et La Réunion</t>
  </si>
  <si>
    <t xml:space="preserve">Pôles du commerce de proximité au sens de l'Insee (commerce de détail + services de la vie courante). Les pôles de périphérie représentent 23 % des établissements des pôles.</t>
  </si>
  <si>
    <t xml:space="preserve">S05</t>
  </si>
  <si>
    <t xml:space="preserve">Bédué M. et Cohen C. (Insee), Le commerce de proximité : des pôles plus florissants en périphérie qu'en centre-ville, Insee Première n° 1858</t>
  </si>
  <si>
    <t xml:space="preserve">20/05/2021</t>
  </si>
  <si>
    <t xml:space="preserve">Statistique publique</t>
  </si>
  <si>
    <t xml:space="preserve">https://www.insee.fr/fr/statistiques/5386414</t>
  </si>
  <si>
    <t xml:space="preserve">Le résumé de la publication dit « deux tiers ». Ne pas citer 66 %.</t>
  </si>
  <si>
    <t xml:space="preserve">Part de l'emploi salarié des pôles située dans les pôles de périphérie</t>
  </si>
  <si>
    <t xml:space="preserve">Même champ (pôles du commerce de proximité).</t>
  </si>
  <si>
    <t xml:space="preserve">Nombre de pôles du commerce de proximité</t>
  </si>
  <si>
    <t xml:space="preserve">pôles</t>
  </si>
  <si>
    <t xml:space="preserve">Pôles identifiés par l'Insee ; 62 % sont des pôles de périphérie.</t>
  </si>
  <si>
    <t xml:space="preserve">Part des salariés des points de vente aux ménages travaillant dans les pôles de périphérie</t>
  </si>
  <si>
    <t xml:space="preserve">2022</t>
  </si>
  <si>
    <t xml:space="preserve">Points de vente aux ménages ; les pôles de centre-ville rassemblent aussi 37 % des salariés (1,0 million).</t>
  </si>
  <si>
    <t xml:space="preserve">S07</t>
  </si>
  <si>
    <t xml:space="preserve">Bloch K. et Pichavant A.-S. (Insee), Entre 2016 et 2022, l'emploi salarié des points de vente progresse davantage en dehors des centres-villes, Insee Première n° 2091</t>
  </si>
  <si>
    <t xml:space="preserve">27/01/2026</t>
  </si>
  <si>
    <t xml:space="preserve">https://www.insee.fr/fr/statistiques/8730497</t>
  </si>
  <si>
    <t xml:space="preserve">Champ et définition des pôles différents de l'Insee Première n° 1858.</t>
  </si>
  <si>
    <t xml:space="preserve">Taille moyenne d'un point de vente en pôle de périphérie</t>
  </si>
  <si>
    <t xml:space="preserve">m² de surface de vente</t>
  </si>
  <si>
    <t xml:space="preserve">Moyenne par point de vente ; 12 salariés en moyenne ; 26 établissements par pôle en moyenne.</t>
  </si>
  <si>
    <t xml:space="preserve">Taille moyenne d'un point de vente en pôle de centre-ville</t>
  </si>
  <si>
    <t xml:space="preserve">Moyenne par point de vente ; 3 salariés en moyenne ; 108 établissements par pôle en moyenne.</t>
  </si>
  <si>
    <t xml:space="preserve">Part des dépenses des Français en magasin réalisées dans les entrées de ville / zones commerciales</t>
  </si>
  <si>
    <t xml:space="preserve">s.d. (dossier 2023)</t>
  </si>
  <si>
    <t xml:space="preserve">Dépenses en magasin (hors internet). Centre-ville : 15 % ; espaces « interstices » (ruralité, banlieue dense) : 13 %.</t>
  </si>
  <si>
    <t xml:space="preserve">S08</t>
  </si>
  <si>
    <t xml:space="preserve">Gouvernement (ministères Économie, Transition écologique, Cohésion des territoires), Un nouvel horizon pour les zones commerciales, dossier de presse</t>
  </si>
  <si>
    <t xml:space="preserve">09/2023</t>
  </si>
  <si>
    <t xml:space="preserve">https://www.info.gouv.fr/upload/media/content/0001/07/2dc90efc2c1a0e97572bf027240fac63e4dc9d75.pdf</t>
  </si>
  <si>
    <t xml:space="preserve">La source statistique d'origine n'est pas donnée (renvoi en note non détaillé). Aussi relayé par LSA Conso (S44).</t>
  </si>
  <si>
    <t xml:space="preserve">Part des dépenses en magasin réalisées en centre-ville</t>
  </si>
  <si>
    <t xml:space="preserve">Même champ que la ligne précédente.</t>
  </si>
  <si>
    <t xml:space="preserve">Part du chiffre d'affaires du commerce de détail réalisée dans les lieux de commerce de périphérie</t>
  </si>
  <si>
    <t xml:space="preserve">% (plus de)</t>
  </si>
  <si>
    <t xml:space="preserve">s.d. (dossier 2025)</t>
  </si>
  <si>
    <t xml:space="preserve">Chiffre d'affaires du commerce de détail, selon Procos.</t>
  </si>
  <si>
    <t xml:space="preserve">S09</t>
  </si>
  <si>
    <t xml:space="preserve">Procos, Dossier de presse, conférence annuelle</t>
  </si>
  <si>
    <t xml:space="preserve">12/02/2025</t>
  </si>
  <si>
    <t xml:space="preserve">Fédération ou cabinet privé</t>
  </si>
  <si>
    <t xml:space="preserve">https://www.procos.org/images/procos/presse/2025/Conf_0225/procos_dp_120225_site.pdf</t>
  </si>
  <si>
    <t xml:space="preserve">Formulé « plus de 70 % » sans détail de méthode.</t>
  </si>
  <si>
    <t xml:space="preserve">Part de marché du commerce de détail des quelque 1 500 zones commerciales</t>
  </si>
  <si>
    <t xml:space="preserve">2020</t>
  </si>
  <si>
    <t xml:space="preserve">Parts de marché du commerce de détail (source Procos, 2020, citée par le Cerema).</t>
  </si>
  <si>
    <t xml:space="preserve">S03</t>
  </si>
  <si>
    <t xml:space="preserve">Cerema, Zones commerciales et centres-villes : trouver le bon équilibre</t>
  </si>
  <si>
    <t xml:space="preserve">s.d. (vers 2020-2021)</t>
  </si>
  <si>
    <t xml:space="preserve">https://www.cerema.fr/fr/actualites/zones-commerciales-centres-villes-trouver-bon-equilibre</t>
  </si>
  <si>
    <t xml:space="preserve">Lu sur la page Cerema ; la publication Procos d'origine n'a pas été consultée.</t>
  </si>
  <si>
    <t xml:space="preserve">Part des ventes du commerce de détail réalisées en périphérie</t>
  </si>
  <si>
    <t xml:space="preserve">2024</t>
  </si>
  <si>
    <t xml:space="preserve">Ensemble des ventes du commerce de détail, internet compris.</t>
  </si>
  <si>
    <t xml:space="preserve">S13</t>
  </si>
  <si>
    <t xml:space="preserve">Rexecode, Répartition des ventes du commerce de détail par lieu de vente, d'après Insee, Procos et Fevad</t>
  </si>
  <si>
    <t xml:space="preserve">Répartition : périphérie 67 %, centre-ville 11 %, proximité 11 %, internet 11 %.</t>
  </si>
  <si>
    <t xml:space="preserve">Part des ventes du commerce de détail réalisées en centre-ville</t>
  </si>
  <si>
    <t xml:space="preserve">Même champ (internet compris).</t>
  </si>
  <si>
    <t xml:space="preserve">Part des ventes du commerce de détail réalisées sur internet</t>
  </si>
  <si>
    <t xml:space="preserve">Même champ.</t>
  </si>
  <si>
    <t xml:space="preserve">Évolution des surfaces commerciales entre 2000 et 2020</t>
  </si>
  <si>
    <t xml:space="preserve">x 2</t>
  </si>
  <si>
    <t xml:space="preserve">multiplicateur</t>
  </si>
  <si>
    <t xml:space="preserve">2000-2020</t>
  </si>
  <si>
    <t xml:space="preserve">Doublement des surfaces commerciales sans hausse équivalente des dépenses des ménages (« obésité commerciale »).</t>
  </si>
  <si>
    <t xml:space="preserve">S22</t>
  </si>
  <si>
    <t xml:space="preserve">Sénat, mission conjointe de contrôle, Revitalisation des centres-villes et des centres-bourgs : entre enthousiasme et frustrations, rapport d'information n° 910 (2021-2022)</t>
  </si>
  <si>
    <t xml:space="preserve">Rapport institutionnel (Cour des comptes, Parlement, inspections, mission)</t>
  </si>
  <si>
    <t xml:space="preserve">https://www.senat.fr/rap/r21-910/r21-9109.html</t>
  </si>
  <si>
    <t xml:space="preserve">Distance moyenne entre zones commerciales et centre-ville</t>
  </si>
  <si>
    <t xml:space="preserve">km</t>
  </si>
  <si>
    <t xml:space="preserve">Distance moyenne des plus de 1 500 zones aux centres-villes.</t>
  </si>
  <si>
    <t xml:space="preserve">S44</t>
  </si>
  <si>
    <t xml:space="preserve">LSA Conso, La périphérie urbaine aimante le commerce</t>
  </si>
  <si>
    <t xml:space="preserve">Presse / média spécialisé</t>
  </si>
  <si>
    <t xml:space="preserve">https://www.lsa-conso.fr/la-peripherie-urbaine-aimante-le-commerce,323561</t>
  </si>
  <si>
    <t xml:space="preserve">Article de presse ; méthode et source d'origine non identifiées.</t>
  </si>
  <si>
    <t xml:space="preserve">2. Centres-villes : emploi et établissements</t>
  </si>
  <si>
    <t xml:space="preserve">Croissance annuelle de l'emploi salarié dans les pôles de périphérie</t>
  </si>
  <si>
    <t xml:space="preserve">% par an</t>
  </si>
  <si>
    <t xml:space="preserve">2009-2015</t>
  </si>
  <si>
    <t xml:space="preserve">Emploi salarié du commerce de proximité dans les pôles de périphérie.</t>
  </si>
  <si>
    <t xml:space="preserve">Croissance annuelle de l'emploi salarié dans les pôles de centre-ville</t>
  </si>
  <si>
    <t xml:space="preserve">Même champ, pôles de centre-ville (« stabilité »).</t>
  </si>
  <si>
    <t xml:space="preserve">La note du CAE (S12) écrit « a baissé de 0,2 % » : l'Insee indique +0,2 %.</t>
  </si>
  <si>
    <t xml:space="preserve">Évolution annuelle de l'emploi du commerce de proximité hors pôles</t>
  </si>
  <si>
    <t xml:space="preserve">Commerces isolés, hors pôles commerciaux.</t>
  </si>
  <si>
    <t xml:space="preserve">Part des pôles de centre-ville où l'emploi salarié baisse</t>
  </si>
  <si>
    <t xml:space="preserve">Contre 23 % des pôles de périphérie.</t>
  </si>
  <si>
    <t xml:space="preserve">Part des pôles de périphérie où l'emploi salarié baisse</t>
  </si>
  <si>
    <t xml:space="preserve">EPCI où l'emploi des pôles de périphérie croît de plus de 1 %/an : part où l'emploi des centres-villes baisse de plus de 1 %/an</t>
  </si>
  <si>
    <t xml:space="preserve">Croisement par EPCI de l'évolution de l'emploi des pôles de périphérie et de centre-ville.</t>
  </si>
  <si>
    <t xml:space="preserve">Quand la périphérie recule d'au moins 1 %/an, la part est de 43 %.</t>
  </si>
  <si>
    <t xml:space="preserve">Pôles de centre-ville en baisse d'emploi dans les aires en recul démographique</t>
  </si>
  <si>
    <t xml:space="preserve">Pôles où l'emploi salarié « se replie nettement » ; 30 % dans les aires les plus dynamiques.</t>
  </si>
  <si>
    <t xml:space="preserve">Pour les pôles de périphérie : 27 % contre 18 %.</t>
  </si>
  <si>
    <t xml:space="preserve">Part des centres-villes de villes de taille intermédiaire (VTI) en baisse tendancielle d'emploi</t>
  </si>
  <si>
    <t xml:space="preserve">368 villes de taille intermédiaire</t>
  </si>
  <si>
    <t xml:space="preserve">Emploi salarié du commerce de proximité en centre-ville.</t>
  </si>
  <si>
    <t xml:space="preserve">S06</t>
  </si>
  <si>
    <t xml:space="preserve">Cazaubiel A. et Guymarc G. (Insee), Commerce de proximité dans les villes de taille intermédiaire, Insee Première n° 1782</t>
  </si>
  <si>
    <t xml:space="preserve">14/11/2019</t>
  </si>
  <si>
    <t xml:space="preserve">https://www.insee.fr/fr/statistiques/4248184</t>
  </si>
  <si>
    <t xml:space="preserve">Dans la moitié des VTI, la baisse dépasse 1,4 % par an.</t>
  </si>
  <si>
    <t xml:space="preserve">Établissements détruits chaque année dans les centres-villes des VTI</t>
  </si>
  <si>
    <t xml:space="preserve">établissements par an</t>
  </si>
  <si>
    <t xml:space="preserve">368 VTI</t>
  </si>
  <si>
    <t xml:space="preserve">Commerce de proximité, centres-villes.</t>
  </si>
  <si>
    <t xml:space="preserve">Dans le même temps, les agglomérations gagnent 100 établissements par an.</t>
  </si>
  <si>
    <t xml:space="preserve">Emplois salariés détruits chaque année dans les centres-villes des VTI</t>
  </si>
  <si>
    <t xml:space="preserve">emplois par an</t>
  </si>
  <si>
    <t xml:space="preserve">Dans le même temps, les agglomérations gagnent 1 600 salariés par an.</t>
  </si>
  <si>
    <t xml:space="preserve">Part des VTI où l'emploi baisse en centre-ville mais augmente dans l'agglomération</t>
  </si>
  <si>
    <t xml:space="preserve">Croissance annuelle de l'emploi salarié des points de vente, pôles de centre-ville</t>
  </si>
  <si>
    <t xml:space="preserve">2016-2022</t>
  </si>
  <si>
    <t xml:space="preserve">Points de vente aux ménages (commerce de détail, restauration, services).</t>
  </si>
  <si>
    <t xml:space="preserve">+1,0 % hors bassin de vie de Paris.</t>
  </si>
  <si>
    <t xml:space="preserve">Croissance annuelle de l'emploi salarié des points de vente, pôles de périphérie</t>
  </si>
  <si>
    <t xml:space="preserve">Même champ. Nombre d'établissements +1,7 %/an, surface de vente +1,3 %/an.</t>
  </si>
  <si>
    <t xml:space="preserve">Croissance annuelle de l'emploi salarié des points de vente hors pôles</t>
  </si>
  <si>
    <t xml:space="preserve">Contribution des pôles de périphérie à la hausse de l'emploi salarié des points de vente</t>
  </si>
  <si>
    <t xml:space="preserve">Hausse totale : +235 000 salariés (+1,5 %/an). Contribution des pôles de centre-ville : 28 %.</t>
  </si>
  <si>
    <t xml:space="preserve">Évolution annuelle de l'emploi salarié dans le commerce de détail d'habillement</t>
  </si>
  <si>
    <t xml:space="preserve">Ensemble des points de vente. Nombre d'établissements d'habillement : −14,9 % sur la période.</t>
  </si>
  <si>
    <t xml:space="preserve">Équipement de la personne hors biens médicaux : −1,6 %/an.</t>
  </si>
  <si>
    <t xml:space="preserve">Entreprises du commerce de proximité</t>
  </si>
  <si>
    <t xml:space="preserve">entreprises</t>
  </si>
  <si>
    <t xml:space="preserve">période du rapport (2017-2022)</t>
  </si>
  <si>
    <t xml:space="preserve">Champ du commerce de proximité retenu par la Cour ; 1,1 million d'emplois salariés et non salariés. 68 % des entreprises n'ont aucun salarié ; chiffre d'affaires moyen de 223 000 €.</t>
  </si>
  <si>
    <t xml:space="preserve">S23</t>
  </si>
  <si>
    <t xml:space="preserve">Cour des comptes, La politique de l'État en faveur du commerce de proximité, rapport public thématique (période 2017-2022)</t>
  </si>
  <si>
    <t xml:space="preserve">29/09/2023</t>
  </si>
  <si>
    <t xml:space="preserve">https://www.ccomptes.fr/sites/default/files/2023-10/20230929-politiques-publiques-commerce-proximite.pdf</t>
  </si>
  <si>
    <t xml:space="preserve">Via relais (blog A. Letowski, veille du CEP). Année exacte à vérifier dans le rapport.</t>
  </si>
  <si>
    <t xml:space="preserve">Nombre d'établissements du petit commerce</t>
  </si>
  <si>
    <t xml:space="preserve">établissements</t>
  </si>
  <si>
    <t xml:space="preserve">2019</t>
  </si>
  <si>
    <t xml:space="preserve">Petit commerce au sens large du CAE (commerce de détail hors grandes surfaces, bars, restaurants, services aux ménages) ; environ 12 % de l'emploi total et 6 % du PIB.</t>
  </si>
  <si>
    <t xml:space="preserve">S12</t>
  </si>
  <si>
    <t xml:space="preserve">Allain M.-L. et Epaulard A. (CAE), Petits commerces : déclin ou mutation ?, Les notes du CAE n° 77</t>
  </si>
  <si>
    <t xml:space="preserve">05/2023</t>
  </si>
  <si>
    <t xml:space="preserve">Recherche académique / CAE</t>
  </si>
  <si>
    <t xml:space="preserve">https://www.cae-eco.fr/</t>
  </si>
  <si>
    <t xml:space="preserve">3. Centres-villes : vacance commerciale</t>
  </si>
  <si>
    <t xml:space="preserve">Taux de vacance commerciale en centre-ville</t>
  </si>
  <si>
    <t xml:space="preserve">2001</t>
  </si>
  <si>
    <t xml:space="preserve">187 centres-villes (panel CGEDD)</t>
  </si>
  <si>
    <t xml:space="preserve">Vacance commerciale, panel de 187 centres-villes.</t>
  </si>
  <si>
    <t xml:space="preserve">S18</t>
  </si>
  <si>
    <t xml:space="preserve">Public Sénat, citant un rapport du CGEDD (2016), Revitalisation des centres-villes : un rapport du Sénat pointe un sous-financement</t>
  </si>
  <si>
    <t xml:space="preserve">https://www.publicsenat.fr/actualites/territoires/revitalisation-des-centres-villes-un-rapport-du-senat-pointe-un-sous</t>
  </si>
  <si>
    <t xml:space="preserve">Rapport CGEDD (2016) cité par Public Sénat ; plus de 10 % en 2015 sur le même panel.</t>
  </si>
  <si>
    <t xml:space="preserve">Idem.</t>
  </si>
  <si>
    <t xml:space="preserve">Part des centres-villes où la vacance augmente</t>
  </si>
  <si>
    <t xml:space="preserve">période d'étude du rapport (avant 2016)</t>
  </si>
  <si>
    <t xml:space="preserve">900 centres-villes</t>
  </si>
  <si>
    <t xml:space="preserve">Rapport interministériel CGEDD / IGF.</t>
  </si>
  <si>
    <t xml:space="preserve">S19</t>
  </si>
  <si>
    <t xml:space="preserve">CGEDD et IGF (cité par le Cerema), Rapport interministériel sur la revitalisation commerciale des centres-villes</t>
  </si>
  <si>
    <t xml:space="preserve">2016</t>
  </si>
  <si>
    <t xml:space="preserve">Cité par le Cerema selon nos notes ; la mention n'a pas été retrouvée sur la page consultée en 10/2026.</t>
  </si>
  <si>
    <t xml:space="preserve">Centres-villes des agglomérations de plus de 25 000 habitants</t>
  </si>
  <si>
    <t xml:space="preserve">Selon l'Institut pour la Ville et le Commerce ; hausse d'environ 1 point par an depuis 2010.</t>
  </si>
  <si>
    <t xml:space="preserve">S20</t>
  </si>
  <si>
    <t xml:space="preserve">Banque des Territoires, d'après l'Institut pour la Ville et le Commerce, Vacance commerciale : les remèdes de l'Institut pour la Ville et le Commerce</t>
  </si>
  <si>
    <t xml:space="preserve">https://www.banquedesterritoires.fr/vacance-commerciale-les-remedes-de-linstitut-pour-la-ville-et-le-commerce</t>
  </si>
  <si>
    <t xml:space="preserve">Taux de vacance dans les centres-villes Action Cœur de Ville</t>
  </si>
  <si>
    <t xml:space="preserve">Villes ACV</t>
  </si>
  <si>
    <t xml:space="preserve">+1 point par rapport à 2019.</t>
  </si>
  <si>
    <t xml:space="preserve">Taux de vacance commerciale tous sites</t>
  </si>
  <si>
    <t xml:space="preserve">Codata Digest France (janvier 2025) : rues marchandes, centres commerciaux et zones commerciales. 9,73 % en 2023.</t>
  </si>
  <si>
    <t xml:space="preserve">La mission de 2025 (S27) attribue 10,64 % aux seuls centres-villes.</t>
  </si>
  <si>
    <t xml:space="preserve">Taux de vacance dans les rues marchandes (pied d'immeuble)</t>
  </si>
  <si>
    <t xml:space="preserve">Codata ; 9,73 % en 2023.</t>
  </si>
  <si>
    <t xml:space="preserve">Panel de 4 045 sites selon L'Échommerces (S15).</t>
  </si>
  <si>
    <t xml:space="preserve">Taux de vacance en pied d'immeuble de centre-ville</t>
  </si>
  <si>
    <t xml:space="preserve">2025</t>
  </si>
  <si>
    <t xml:space="preserve">Codata Digest 2026 ; 10,8 % en 2024.</t>
  </si>
  <si>
    <t xml:space="preserve">S14</t>
  </si>
  <si>
    <t xml:space="preserve">Codata, Codata Digest 2026 (relayé par L'Échommerces)</t>
  </si>
  <si>
    <t xml:space="preserve">2026</t>
  </si>
  <si>
    <t xml:space="preserve">https://lechommerces.fr/la-vacance-commerciale-progresse-de-nouveau-en-france/</t>
  </si>
  <si>
    <t xml:space="preserve">2022 (chiffres Procos)</t>
  </si>
  <si>
    <t xml:space="preserve">Valeur donnée « par exemple » pour comparer avec les zones commerciales (9 %).</t>
  </si>
  <si>
    <t xml:space="preserve">Taux de vacance commerciale national</t>
  </si>
  <si>
    <t xml:space="preserve">« Doublé en dix ans » ; aussi formulé comme le passage de 6 % (2010) à 14 % (2024) dans les centres-villes.</t>
  </si>
  <si>
    <t xml:space="preserve">S27</t>
  </si>
  <si>
    <t xml:space="preserve">Mission sur l'avenir du commerce de proximité (rapport remis au Gouvernement), Rapport sur l'avenir du commerce de proximité dans les centres-villes et les QPV</t>
  </si>
  <si>
    <t xml:space="preserve">05/11/2025</t>
  </si>
  <si>
    <t xml:space="preserve">https://www.banquedesterritoires.fr/sites/default/files/2025-11/Rapport-mission-commerce-de-proximite-centres-villes-QPVf.pdf</t>
  </si>
  <si>
    <t xml:space="preserve">Lu dans des synthèses du rapport ; champ exact à vérifier dans le rapport.</t>
  </si>
  <si>
    <t xml:space="preserve">Part des boutiques fermées en centre-ville</t>
  </si>
  <si>
    <t xml:space="preserve">1 sur 10</t>
  </si>
  <si>
    <t xml:space="preserve">ratio</t>
  </si>
  <si>
    <t xml:space="preserve">Formulation du communiqué de la DGE sur la mission.</t>
  </si>
  <si>
    <t xml:space="preserve">S28</t>
  </si>
  <si>
    <t xml:space="preserve">Direction générale des Entreprises, Mission sur l'avenir du commerce de proximité : neuf mesures retenues</t>
  </si>
  <si>
    <t xml:space="preserve">11/2025</t>
  </si>
  <si>
    <t xml:space="preserve">https://www.entreprises.gouv.fr/la-dge/actualites/mission-sur-lavenir-du-commerce-de-proximite-neuf-mesures-retenues-pour</t>
  </si>
  <si>
    <t xml:space="preserve">Taux de vacance dans les villes Action Cœur de Ville</t>
  </si>
  <si>
    <t xml:space="preserve">Baromètre Codata / FACT ; 7,7 % hors ACV.</t>
  </si>
  <si>
    <t xml:space="preserve">S17</t>
  </si>
  <si>
    <t xml:space="preserve">Points de Vente, d'après le baromètre Codata / FACT, La hausse de la vacance commerciale reprend dans les centres-villes</t>
  </si>
  <si>
    <t xml:space="preserve">23/05/2024</t>
  </si>
  <si>
    <t xml:space="preserve">https://pointsdevente.fr/fil-info/2024-05-23-la-hausse-de-la-vacance-commerciale-reprend-dans-les-centres-villes/</t>
  </si>
  <si>
    <t xml:space="preserve">Taux de vacance commerciale moyen, toutes communes</t>
  </si>
  <si>
    <t xml:space="preserve">Baromètre Codata / FACT ; 9,22 % en 2022.</t>
  </si>
  <si>
    <t xml:space="preserve">Étude Codata / FACT ; 7,39 % dans un groupe de comparaison hors ACV.</t>
  </si>
  <si>
    <t xml:space="preserve">S16</t>
  </si>
  <si>
    <t xml:space="preserve">Codata, Quel bilan tirer du plan ACV sur la vacance commerciale des centres-villes de villes moyennes ? (étude Codata / FACT)</t>
  </si>
  <si>
    <t xml:space="preserve">s.d. (données 2018-2022)</t>
  </si>
  <si>
    <t xml:space="preserve">https://www.codata.eu/blog/quel-bilan-tirer-du-plan-acv-sur-la-vacance-commerciale-des-centres-villes-de-villes-moyennes/</t>
  </si>
  <si>
    <t xml:space="preserve">Baisse de 1,7 point depuis le pic de 2020 (−0,3 point hors ACV).</t>
  </si>
  <si>
    <t xml:space="preserve">Taux de vacance à Vierzon</t>
  </si>
  <si>
    <t xml:space="preserve">2018</t>
  </si>
  <si>
    <t xml:space="preserve">Vierzon (centre-ville)</t>
  </si>
  <si>
    <t xml:space="preserve">22,2 % en 2022.</t>
  </si>
  <si>
    <t xml:space="preserve">Taux de vacance à Calais</t>
  </si>
  <si>
    <t xml:space="preserve">% (21,3 à 21,7)</t>
  </si>
  <si>
    <t xml:space="preserve">Calais (centre-ville)</t>
  </si>
  <si>
    <t xml:space="preserve">14 % en 2022.</t>
  </si>
  <si>
    <t xml:space="preserve">Taux de vacance à Bagnols-sur-Cèze</t>
  </si>
  <si>
    <t xml:space="preserve">Bagnols-sur-Cèze (centre-ville)</t>
  </si>
  <si>
    <t xml:space="preserve">14,3 % en 2022.</t>
  </si>
  <si>
    <t xml:space="preserve">Taux de vacance en cœur de métropole</t>
  </si>
  <si>
    <t xml:space="preserve">s.d. (vers 2020-2022)</t>
  </si>
  <si>
    <t xml:space="preserve">Métropoles de plus de 700 000 habitants</t>
  </si>
  <si>
    <t xml:space="preserve">Passé de 7,6 % à 8,3 %, jamais au-dessus de 9 %.</t>
  </si>
  <si>
    <t xml:space="preserve">S21</t>
  </si>
  <si>
    <t xml:space="preserve">Banque des Territoires, La progression de la vacance commerciale ralentit, surtout dans les villes moyennes</t>
  </si>
  <si>
    <t xml:space="preserve">s.d. (données 2020-2022)</t>
  </si>
  <si>
    <t xml:space="preserve">https://www.banquedesterritoires.fr/la-progression-de-la-vacance-commerciale-ralentit-surtout-dans-les-villes-moyennes</t>
  </si>
  <si>
    <t xml:space="preserve">Taux de vacance dans les grandes villes</t>
  </si>
  <si>
    <t xml:space="preserve">% (environ)</t>
  </si>
  <si>
    <t xml:space="preserve">Villes de 200 000 à 700 000 habitants</t>
  </si>
  <si>
    <t xml:space="preserve">Stagnation.</t>
  </si>
  <si>
    <t xml:space="preserve">Taux de vacance dans les villes moyennes</t>
  </si>
  <si>
    <t xml:space="preserve">Bassins de 50 000 à 200 000 habitants</t>
  </si>
  <si>
    <t xml:space="preserve">13,6 % en 2020.</t>
  </si>
  <si>
    <t xml:space="preserve">Taux de vacance dans les petites villes</t>
  </si>
  <si>
    <t xml:space="preserve">Bassins de moins de 50 000 habitants</t>
  </si>
  <si>
    <t xml:space="preserve">13,1 % en 2020.</t>
  </si>
  <si>
    <t xml:space="preserve">Taux de vacance par région, le plus élevé (Occitanie)</t>
  </si>
  <si>
    <t xml:space="preserve">Occitanie</t>
  </si>
  <si>
    <t xml:space="preserve">Codata. Le plus faible : Bretagne, 8,92 %.</t>
  </si>
  <si>
    <t xml:space="preserve">Centres-villes (panel non précisé dans les relais)</t>
  </si>
  <si>
    <t xml:space="preserve">7 % en 2012.</t>
  </si>
  <si>
    <t xml:space="preserve">Via relais (blog A. Letowski) ; panel et source d'origine à vérifier dans le rapport.</t>
  </si>
  <si>
    <t xml:space="preserve">Villes dont la vacance commerciale dépasse 20 %</t>
  </si>
  <si>
    <t xml:space="preserve">villes (près de)</t>
  </si>
  <si>
    <t xml:space="preserve">vers 2020-2022</t>
  </si>
  <si>
    <t xml:space="preserve">Via relais (blog A. Letowski).</t>
  </si>
  <si>
    <t xml:space="preserve">Taux de vacance commerciale tous formats</t>
  </si>
  <si>
    <t xml:space="preserve">10,7 % en 2024.</t>
  </si>
  <si>
    <t xml:space="preserve">S53</t>
  </si>
  <si>
    <t xml:space="preserve">Cour des comptes (RPA 2026, via synthèse), Rapport public annuel 2026 : cohésion territoriale et attractivité des territoires</t>
  </si>
  <si>
    <t xml:space="preserve">https://www.ccomptes.fr/fr/publications/le-rapport-public-annuel-2026</t>
  </si>
  <si>
    <t xml:space="preserve">Chiffre lu dans une synthèse automatique du RPA 2026 ; à vérifier dans le rapport.</t>
  </si>
  <si>
    <t xml:space="preserve">4. Fréquentation, consommation, offre</t>
  </si>
  <si>
    <t xml:space="preserve">Évolution de la fréquentation des magasins en centre-ville</t>
  </si>
  <si>
    <t xml:space="preserve">% sur un an</t>
  </si>
  <si>
    <t xml:space="preserve">2024 vs 2023</t>
  </si>
  <si>
    <t xml:space="preserve">Observatoire de la fréquentation Procos / Stackr.</t>
  </si>
  <si>
    <t xml:space="preserve">Périphérie −1,2 % ; centres commerciaux −0,8 % ; ensemble −1,6 %.</t>
  </si>
  <si>
    <t xml:space="preserve">Évolution de la fréquentation des magasins en périphérie</t>
  </si>
  <si>
    <t xml:space="preserve">Évolution de la fréquentation des magasins, ensemble</t>
  </si>
  <si>
    <t xml:space="preserve">Idem ; −2,3 % en 2023 selon nos notes.</t>
  </si>
  <si>
    <t xml:space="preserve">Part de marché du commerce alimentaire spécialisé de proximité</t>
  </si>
  <si>
    <t xml:space="preserve">2017</t>
  </si>
  <si>
    <t xml:space="preserve">22 % en 1993.</t>
  </si>
  <si>
    <t xml:space="preserve">Lu via la synthèse et des relais (blog A. Letowski, veille du CEP) : le rapport n'a pas pu être ouvert depuis notre environnement.</t>
  </si>
  <si>
    <t xml:space="preserve">2021</t>
  </si>
  <si>
    <t xml:space="preserve">Remontée après 2017 ; essor des supérettes (moins de 400 m²) depuis 2011.</t>
  </si>
  <si>
    <t xml:space="preserve">Via relais (blog A. Letowski, veille du CEP).</t>
  </si>
  <si>
    <t xml:space="preserve">Part des ventes en ligne dans le commerce de détail</t>
  </si>
  <si>
    <t xml:space="preserve">146,9 milliards d'euros de ventes en ligne en 2022.</t>
  </si>
  <si>
    <t xml:space="preserve">Via relais (blog A. Letowski). Champ différent du chiffre Fevad cité par le CAE (14,1 % en 2021).</t>
  </si>
  <si>
    <t xml:space="preserve">Poids de l'équipement de la personne dans l'offre de certains centres-villes</t>
  </si>
  <si>
    <t xml:space="preserve">40 à 60</t>
  </si>
  <si>
    <t xml:space="preserve">Certains centres-villes</t>
  </si>
  <si>
    <t xml:space="preserve">Surreprésentation de l'habillement et des accessoires.</t>
  </si>
  <si>
    <t xml:space="preserve">Part de l'habillement dans l'offre en pied d'immeuble</t>
  </si>
  <si>
    <t xml:space="preserve">20,92 % en 2015. Les cafés-hôtels-restaurants montent à 21,67 % de l'offre.</t>
  </si>
  <si>
    <t xml:space="preserve">S15</t>
  </si>
  <si>
    <t xml:space="preserve">L'Échommerces, d'après Codata, La vacance commerciale progresse de nouveau en France</t>
  </si>
  <si>
    <t xml:space="preserve">Établissements perdus par l'équipement de la personne en dix ans</t>
  </si>
  <si>
    <t xml:space="preserve">environ 2016-2026</t>
  </si>
  <si>
    <t xml:space="preserve">Équipement de la personne.</t>
  </si>
  <si>
    <t xml:space="preserve">S11</t>
  </si>
  <si>
    <t xml:space="preserve">Icade et SCET, Baromètre des entrées de ville, 2e édition : cap sur les projets</t>
  </si>
  <si>
    <t xml:space="preserve">09/2026</t>
  </si>
  <si>
    <t xml:space="preserve">https://www.icade.fr/content/download/7372/file/barom%C3%A8tre-entr%C3%A9es-de-ville-2e-edition-cap-sur-projets.pdf</t>
  </si>
  <si>
    <t xml:space="preserve">Lu dans le baromètre Icade, qui cite la revue Urbanisme n° 448 (avril 2026).</t>
  </si>
  <si>
    <t xml:space="preserve">Part du e-commerce dans le commerce de détail</t>
  </si>
  <si>
    <t xml:space="preserve">Estimation Fevad citée par le CAE ; 129 milliards d'euros dépensés en ligne en 2021 (biens et services).</t>
  </si>
  <si>
    <t xml:space="preserve">5. QPV : commerce et contexte</t>
  </si>
  <si>
    <t xml:space="preserve">Nombre de QPV en métropole</t>
  </si>
  <si>
    <t xml:space="preserve">quartiers</t>
  </si>
  <si>
    <t xml:space="preserve">01/01/2025</t>
  </si>
  <si>
    <t xml:space="preserve">Géographie prioritaire 2024 ; 156 dans les DROM et 91 en Polynésie et à Saint-Martin.</t>
  </si>
  <si>
    <t xml:space="preserve">S33</t>
  </si>
  <si>
    <t xml:space="preserve">ANCT, Quartiers prioritaires de la politique de la ville</t>
  </si>
  <si>
    <t xml:space="preserve">https://anct.gouv.fr/quartiers-prioritaires</t>
  </si>
  <si>
    <t xml:space="preserve">Population des QPV</t>
  </si>
  <si>
    <t xml:space="preserve">millions d'habitants (plus de)</t>
  </si>
  <si>
    <t xml:space="preserve">Taux de chômage en QPV</t>
  </si>
  <si>
    <t xml:space="preserve">QPV</t>
  </si>
  <si>
    <t xml:space="preserve">7,5 % dans les unités urbaines englobantes ; 25 % en 2014.</t>
  </si>
  <si>
    <t xml:space="preserve">S31</t>
  </si>
  <si>
    <t xml:space="preserve">Observatoire des inégalités, d'après l'ONPV, Le chômage dans les quartiers prioritaires</t>
  </si>
  <si>
    <t xml:space="preserve">s.d. (données 2022)</t>
  </si>
  <si>
    <t xml:space="preserve">https://www.inegalites.fr/Chomage-QPV</t>
  </si>
  <si>
    <t xml:space="preserve">Moins de 30 ans : 26 % contre 13,5 %.</t>
  </si>
  <si>
    <t xml:space="preserve">Taux de pauvreté en QPV</t>
  </si>
  <si>
    <t xml:space="preserve">2,5 fois le taux des villes qui les abritent.</t>
  </si>
  <si>
    <t xml:space="preserve">S32</t>
  </si>
  <si>
    <t xml:space="preserve">Observatoire des inégalités, d'après l'Insee, Les revenus et la pauvreté dans les quartiers les plus en difficulté</t>
  </si>
  <si>
    <t xml:space="preserve">s.d. (données 2021)</t>
  </si>
  <si>
    <t xml:space="preserve">https://www.inegalites.fr/Les-revenus-et-la-pauvrete-dans-les-quartiers-les-plus-en-difficulte</t>
  </si>
  <si>
    <t xml:space="preserve">Niveau de vie médian en QPV</t>
  </si>
  <si>
    <t xml:space="preserve">€ par mois</t>
  </si>
  <si>
    <t xml:space="preserve">1 900 € dans le reste des agglomérations englobantes.</t>
  </si>
  <si>
    <t xml:space="preserve">Évolution du nombre d'entreprises en QPV</t>
  </si>
  <si>
    <t xml:space="preserve">x 2 (presque)</t>
  </si>
  <si>
    <t xml:space="preserve">5 ans avant 2023</t>
  </si>
  <si>
    <t xml:space="preserve">Toutes entreprises ; secteurs les plus représentés : commerce, transport, construction.</t>
  </si>
  <si>
    <t xml:space="preserve">S30</t>
  </si>
  <si>
    <t xml:space="preserve">ONPV / ANCT, Comprendre le tissu économique en QPV : une hausse du nombre d'entreprises</t>
  </si>
  <si>
    <t xml:space="preserve">2023</t>
  </si>
  <si>
    <t xml:space="preserve">https://www.onpv.fr/uploads/media_items/onpv-dossier-entreprises-2023.original.pdf</t>
  </si>
  <si>
    <t xml:space="preserve">Part du commerce de détail dans les établissements des QPV</t>
  </si>
  <si>
    <t xml:space="preserve">01/01/2021</t>
  </si>
  <si>
    <t xml:space="preserve">QPV de métropole</t>
  </si>
  <si>
    <t xml:space="preserve">18,2 % dans les QPV des DROM.</t>
  </si>
  <si>
    <t xml:space="preserve">Part du commerce de détail dans les créations d'établissements en QPV</t>
  </si>
  <si>
    <t xml:space="preserve">Sur 92 590 nouveaux établissements.</t>
  </si>
  <si>
    <t xml:space="preserve">Opérations ANRU consacrées au commerce de proximité</t>
  </si>
  <si>
    <t xml:space="preserve">opérations</t>
  </si>
  <si>
    <t xml:space="preserve">s.d. (NPNRU)</t>
  </si>
  <si>
    <t xml:space="preserve">QPV en renouvellement urbain</t>
  </si>
  <si>
    <t xml:space="preserve">Dotation ANRU de 322 M€ et cofinancement de 67 M€.</t>
  </si>
  <si>
    <t xml:space="preserve">S34</t>
  </si>
  <si>
    <t xml:space="preserve">ANRU, Le commerce dans les quartiers prioritaires en renouvellement urbain</t>
  </si>
  <si>
    <t xml:space="preserve">https://www.anru.fr/la-docutheque/le-commerce-dans-les-quartiers-prioritaires-en-renouvellement-urbain</t>
  </si>
  <si>
    <t xml:space="preserve">Centres commerciaux ou pôles artisanaux restructurés par l'EPARECA</t>
  </si>
  <si>
    <t xml:space="preserve">(plus de)</t>
  </si>
  <si>
    <t xml:space="preserve">depuis 2001</t>
  </si>
  <si>
    <t xml:space="preserve">Opérateur public créé en 1996, intégré depuis à l'ANCT.</t>
  </si>
  <si>
    <t xml:space="preserve">S46</t>
  </si>
  <si>
    <t xml:space="preserve">EPARECA / LSA Conso ; CGET, L'Epareca aide les quartiers sensibles ; De nouvelles opérations pour le commerce et l'artisanat en QPV</t>
  </si>
  <si>
    <t xml:space="preserve">https://www.lsa-conso.fr/l-epareca-aide-les-quartiers-sensibles,34533</t>
  </si>
  <si>
    <t xml:space="preserve">Coût d'une restructuration de centre commercial en QPV (Le Mans)</t>
  </si>
  <si>
    <t xml:space="preserve">€</t>
  </si>
  <si>
    <t xml:space="preserve">2023-2025</t>
  </si>
  <si>
    <t xml:space="preserve">Le Mans</t>
  </si>
  <si>
    <t xml:space="preserve">Financement : Le Mans Métropole 1 254 750 €, ANCT 1 203 491 €, ANRU 1 058 131 €, FRLA 695 728 €.</t>
  </si>
  <si>
    <t xml:space="preserve">S47</t>
  </si>
  <si>
    <t xml:space="preserve">ANCT, Dossier de presse, restructuration d'un centre commercial en QPV au Mans</t>
  </si>
  <si>
    <t xml:space="preserve">10/2024</t>
  </si>
  <si>
    <t xml:space="preserve">https://media.anct.gouv.fr/s3fs-public/2024-10/DP_ANCT_LE%20MANS_2024_v4%20(7).pdf</t>
  </si>
  <si>
    <t xml:space="preserve">6. Autorisations CDAC / CNAC</t>
  </si>
  <si>
    <t xml:space="preserve">Surface de vente autorisée par les CDAC</t>
  </si>
  <si>
    <t xml:space="preserve">m²</t>
  </si>
  <si>
    <t xml:space="preserve">Autorisations et avis favorables des CDAC (tableau 1).</t>
  </si>
  <si>
    <t xml:space="preserve">S10</t>
  </si>
  <si>
    <t xml:space="preserve">CNAC / Direction générale des Entreprises, Rapport d'activité 2024 de la Commission nationale d'aménagement commercial</t>
  </si>
  <si>
    <t xml:space="preserve">https://www.entreprises.gouv.fr/files/files/Publications/2025/rapports-activite/ra-cnac-2024.pdf</t>
  </si>
  <si>
    <t xml:space="preserve">Idem ; 338 autorisations, taux d'autorisation 88 %.</t>
  </si>
  <si>
    <t xml:space="preserve">Surface de vente examinée par les CDAC</t>
  </si>
  <si>
    <t xml:space="preserve">Autorisations + refus (384 dossiers) ; 878 373 m² en 2022.</t>
  </si>
  <si>
    <t xml:space="preserve">Surface de vente examinée par la CNAC</t>
  </si>
  <si>
    <t xml:space="preserve">487 999 m² en 2023 (−52 %) ; 145 avis ou décisions contre 181.</t>
  </si>
  <si>
    <t xml:space="preserve">Surface moyenne examinée : 1 620 m² (2 696 m² en 2023).</t>
  </si>
  <si>
    <t xml:space="preserve">Surface de vente autorisée par la CNAC</t>
  </si>
  <si>
    <t xml:space="preserve">318 032 m² en 2023 (tableau 2).</t>
  </si>
  <si>
    <t xml:space="preserve">Projets examinés par la CNAC susceptibles d'artificialiser les sols</t>
  </si>
  <si>
    <t xml:space="preserve">dossiers</t>
  </si>
  <si>
    <t xml:space="preserve">Pour 199 045 m² (117 625 m² en 2023). 12 autorisés (115 375 m²), 17 refusés (83 668 m²).</t>
  </si>
  <si>
    <t xml:space="preserve">Surface désartificialisée par les projets autorisés en CNAC</t>
  </si>
  <si>
    <t xml:space="preserve">31 dossiers proposant une désartificialisation volontaire et ayant reçu un avis favorable.</t>
  </si>
  <si>
    <t xml:space="preserve">Surfaces autorisées en CDAC (série Kyris / Procos)</t>
  </si>
  <si>
    <t xml:space="preserve">Hors retraits de dossiers et non-lieux. 703 dossiers autorisés sur 813.</t>
  </si>
  <si>
    <t xml:space="preserve">Champ différent du rapport CNAC (S10).</t>
  </si>
  <si>
    <t xml:space="preserve">Idem ; 355 dossiers autorisés sur 406 ; « −67 % depuis 2019, 7 fois moins qu'en 2011 ».</t>
  </si>
  <si>
    <t xml:space="preserve">Série 2020-2023 : 0,62 / 0,55 / 0,82 / 0,72.</t>
  </si>
  <si>
    <t xml:space="preserve">Surface moyenne des dossiers autorisés en CDAC</t>
  </si>
  <si>
    <t xml:space="preserve">Série Kyris / Procos.</t>
  </si>
  <si>
    <t xml:space="preserve">Surface moyenne des projets en stock : 5 000 m² (14 000 m² en 2014).</t>
  </si>
  <si>
    <t xml:space="preserve">Surfaces de plancher commercial autorisées (permis de construire)</t>
  </si>
  <si>
    <t xml:space="preserve">Sitadel2 (toutes autorisations de surfaces commerciales, pas seulement CDAC) ; 4,1 en 2023, 4,4 en 2022.</t>
  </si>
  <si>
    <t xml:space="preserve">Surfaces commencées : 2,2 millions de m² en 2024.</t>
  </si>
  <si>
    <t xml:space="preserve">Surfaces de vente terminées (projets des grands promoteurs) sur 5 ans</t>
  </si>
  <si>
    <t xml:space="preserve">2020-2024</t>
  </si>
  <si>
    <t xml:space="preserve">376 projets (4 720 m² en moyenne), hors alimentaire, restauration et loisirs ; 5,4 millions de m² et 518 projets cinq ans plus tôt.</t>
  </si>
  <si>
    <t xml:space="preserve">Surface examinée en CDAC</t>
  </si>
  <si>
    <t xml:space="preserve">m² (environ)</t>
  </si>
  <si>
    <t xml:space="preserve">996 projets examinés, 643 autorisés.</t>
  </si>
  <si>
    <t xml:space="preserve">S40</t>
  </si>
  <si>
    <t xml:space="preserve">Banque des Territoires, 2023, année de transition de l'aménagement commercial ?</t>
  </si>
  <si>
    <t xml:space="preserve">https://www.banquedesterritoires.fr/2023-annee-de-transition-de-lamenagement-commercial</t>
  </si>
  <si>
    <t xml:space="preserve">Surface autorisée en CDAC</t>
  </si>
  <si>
    <t xml:space="preserve">Taux d'approbation de 86 %.</t>
  </si>
  <si>
    <t xml:space="preserve">Diffère du tableau 1 du rapport CNAC (625 386 m²) : périmètres à comparer.</t>
  </si>
  <si>
    <t xml:space="preserve">Surface dont l'artificialisation a été évitée par des refus de la CNAC</t>
  </si>
  <si>
    <t xml:space="preserve">29 projets rejetés, effet attribué au décret du 13 octobre 2022.</t>
  </si>
  <si>
    <t xml:space="preserve">7. Cadre réglementaire (seuils)</t>
  </si>
  <si>
    <t xml:space="preserve">Seuil d'autorisation commerciale, loi Royer</t>
  </si>
  <si>
    <t xml:space="preserve">m² (1 500 m² dans les villes &gt; 40 000 hab.)</t>
  </si>
  <si>
    <t xml:space="preserve">1973</t>
  </si>
  <si>
    <t xml:space="preserve">Surface de vente au-delà de laquelle une autorisation est requise.</t>
  </si>
  <si>
    <t xml:space="preserve">S45</t>
  </si>
  <si>
    <t xml:space="preserve">Légifrance, Lois n° 73-1193 (Royer), 96-603 (Raffarin), 2008-776 (LME), 2018-1021 (ELAN), 2021-1104 (Climat et résilience) ; décret du 13/10/2022</t>
  </si>
  <si>
    <t xml:space="preserve">1973-2022</t>
  </si>
  <si>
    <t xml:space="preserve">Texte juridique</t>
  </si>
  <si>
    <t xml:space="preserve">https://www.legifrance.gouv.fr</t>
  </si>
  <si>
    <t xml:space="preserve">Vérifier sur Légifrance (loi n° 73-1193).</t>
  </si>
  <si>
    <t xml:space="preserve">Seuil d'autorisation commerciale, loi Raffarin</t>
  </si>
  <si>
    <t xml:space="preserve">1996</t>
  </si>
  <si>
    <t xml:space="preserve">Abaissement du seuil.</t>
  </si>
  <si>
    <t xml:space="preserve">Loi n° 96-603.</t>
  </si>
  <si>
    <t xml:space="preserve">Seuil d'autorisation commerciale, loi LME</t>
  </si>
  <si>
    <t xml:space="preserve">2008</t>
  </si>
  <si>
    <t xml:space="preserve">Relèvement du seuil ; création des CDAC.</t>
  </si>
  <si>
    <t xml:space="preserve">Loi n° 2008-776.</t>
  </si>
  <si>
    <t xml:space="preserve">Durée de suspension possible des projets en périphérie d'une ORT (loi ELAN, art. 157)</t>
  </si>
  <si>
    <t xml:space="preserve">ans (+1 renouvelable)</t>
  </si>
  <si>
    <t xml:space="preserve">2018 (application 07/2019)</t>
  </si>
  <si>
    <t xml:space="preserve">Communes en ORT</t>
  </si>
  <si>
    <t xml:space="preserve">Le préfet peut suspendre l'examen en CDAC des projets situés hors des périmètres de l'ORT.</t>
  </si>
  <si>
    <t xml:space="preserve">Loi n° 2018-1021 ; décret du 26 juillet 2019.</t>
  </si>
  <si>
    <t xml:space="preserve">Seuil au-delà duquel aucune dérogation n'est possible pour un projet artificialisant (loi Climat et résilience)</t>
  </si>
  <si>
    <t xml:space="preserve">Art. 215 ; entre 3 000 et 10 000 m², dérogation soumise à l'accord du préfet.</t>
  </si>
  <si>
    <t xml:space="preserve">Loi n° 2021-1104.</t>
  </si>
  <si>
    <t xml:space="preserve">Date d'obligation d'examen du critère d'artificialisation par les commissions</t>
  </si>
  <si>
    <t xml:space="preserve">année (15 octobre)</t>
  </si>
  <si>
    <t xml:space="preserve">Décret d'application du 13 octobre 2022.</t>
  </si>
  <si>
    <t xml:space="preserve">8. Artificialisation et foncier</t>
  </si>
  <si>
    <t xml:space="preserve">Consommation d'espaces naturels, agricoles et forestiers</t>
  </si>
  <si>
    <t xml:space="preserve">ha</t>
  </si>
  <si>
    <t xml:space="preserve">Tous usages ; plus bas niveau depuis le début du suivi (2011).</t>
  </si>
  <si>
    <t xml:space="preserve">S41</t>
  </si>
  <si>
    <t xml:space="preserve">CGDD / Cerema, Portail de l'artificialisation : consommation d'espaces naturels, agricoles et forestiers 2011-2025</t>
  </si>
  <si>
    <t xml:space="preserve">https://artificialisation.developpement-durable.gouv.fr/actualites/parution-des-donnees-consommation-despaces-naturels-agricoles-et-forestiers-2011-2025</t>
  </si>
  <si>
    <t xml:space="preserve">Consommation moyenne annuelle d'espaces naturels, agricoles et forestiers</t>
  </si>
  <si>
    <t xml:space="preserve">ha par an</t>
  </si>
  <si>
    <t xml:space="preserve">2009-2023</t>
  </si>
  <si>
    <t xml:space="preserve">France (DOM compris)</t>
  </si>
  <si>
    <t xml:space="preserve">Cerema, rapport « Analyse de la consommation d'espaces », mai 2024.</t>
  </si>
  <si>
    <t xml:space="preserve">Cité dans le rapport CNAC 2024.</t>
  </si>
  <si>
    <t xml:space="preserve">Surface artificialisée</t>
  </si>
  <si>
    <t xml:space="preserve">Tous usages ; 63 % habitat, 23 % activité économique (commerce compris).</t>
  </si>
  <si>
    <t xml:space="preserve">S42</t>
  </si>
  <si>
    <t xml:space="preserve">Cerema, Artificialisation des sols : quelle dynamique ? / données de consommation foncière 2009-2023</t>
  </si>
  <si>
    <t xml:space="preserve">https://www.cerema.fr/fr/actualites/artificialisation-sols-quelle-dynamique</t>
  </si>
  <si>
    <t xml:space="preserve">Part de l'activité économique dans l'artificialisation</t>
  </si>
  <si>
    <t xml:space="preserve">2009-2018</t>
  </si>
  <si>
    <t xml:space="preserve">Activité économique (industrie, commerce, etc.) ; habitat 68 %.</t>
  </si>
  <si>
    <t xml:space="preserve">Pas de décomposition propre au commerce.</t>
  </si>
  <si>
    <t xml:space="preserve">Sites commerciaux EmpCom comportant au moins une friche</t>
  </si>
  <si>
    <t xml:space="preserve">sites</t>
  </si>
  <si>
    <t xml:space="preserve">Soit 7 % des sites à vocation commerciale ; environ 10 % de leur surface en friche (409 ha).</t>
  </si>
  <si>
    <t xml:space="preserve">S04</t>
  </si>
  <si>
    <t xml:space="preserve">Cerema, Déterminer le potentiel de réindustrialisation des friches dans les zones commerciales</t>
  </si>
  <si>
    <t xml:space="preserve">28/11/2024</t>
  </si>
  <si>
    <t xml:space="preserve">https://www.cerema.fr/fr/actualites/potentiel-reindustrialisation-friches</t>
  </si>
  <si>
    <t xml:space="preserve">9. Périphérie : vacance et transformation</t>
  </si>
  <si>
    <t xml:space="preserve">Taux de vacance dans les zones commerciales</t>
  </si>
  <si>
    <t xml:space="preserve">% (moins de)</t>
  </si>
  <si>
    <t xml:space="preserve">2007</t>
  </si>
  <si>
    <t xml:space="preserve">Zones commerciales de périphérie.</t>
  </si>
  <si>
    <t xml:space="preserve">« Aurait doublé » : plus de 8 % en 2020. Source d'origine non précisée par le Cerema.</t>
  </si>
  <si>
    <t xml:space="preserve">Comparé à 11 % en centre-ville.</t>
  </si>
  <si>
    <t xml:space="preserve">Taux de vacance dans les zones commerciales (Codata)</t>
  </si>
  <si>
    <t xml:space="preserve">Codata ; 6,79 % en 2023.</t>
  </si>
  <si>
    <t xml:space="preserve">Taux de vacance dans les 60 plus grandes zones commerciales</t>
  </si>
  <si>
    <t xml:space="preserve">« Vacance quasi absente ».</t>
  </si>
  <si>
    <t xml:space="preserve">Taux de vacance dans les centres commerciaux (Codata)</t>
  </si>
  <si>
    <t xml:space="preserve">14,95 % en 2023.</t>
  </si>
  <si>
    <t xml:space="preserve">L'Échommerces (S15) donne 16,04 % pour 2024.</t>
  </si>
  <si>
    <t xml:space="preserve">6,9 % en 2022 ; centres commerciaux 16,8 % en 2025.</t>
  </si>
  <si>
    <t xml:space="preserve">Taux de vacance des zones commerciales (FACT)</t>
  </si>
  <si>
    <t xml:space="preserve">Série FACT reproduite dans le baromètre.</t>
  </si>
  <si>
    <t xml:space="preserve">Lu dans le baromètre Icade × SCET, qui cite la FACT.</t>
  </si>
  <si>
    <t xml:space="preserve">Idem ; « se creuse depuis 2022 ».</t>
  </si>
  <si>
    <t xml:space="preserve">Projets de transformation d'entrées de ville recensés</t>
  </si>
  <si>
    <t xml:space="preserve">projets</t>
  </si>
  <si>
    <t xml:space="preserve">Recensement Icade × SCET (non exhaustif) ; 8 606 ha au total.</t>
  </si>
  <si>
    <t xml:space="preserve">Part des projets au stade de l'intention</t>
  </si>
  <si>
    <t xml:space="preserve">34 % à l'étude, 5 % en recyclage foncier, 3 % en travaux, 1 % achevés.</t>
  </si>
  <si>
    <t xml:space="preserve">Part des projets initiés par des acteurs privés (propriétaires et opérateurs)</t>
  </si>
  <si>
    <t xml:space="preserve">Acteurs « à l'origine » des projets ; 35 % sont initiés par des collectivités ou opérateurs publics.</t>
  </si>
  <si>
    <t xml:space="preserve">Le baromètre donne 65 % dans la synthèse et l'éditorial, 66 % dans le détail. 53 % des sites font moins de 3 ha.</t>
  </si>
  <si>
    <t xml:space="preserve">Part des élus jugeant les entrées de ville stratégiques</t>
  </si>
  <si>
    <t xml:space="preserve">juin-juillet 2026</t>
  </si>
  <si>
    <t xml:space="preserve">Communes de plus de 10 000 habitants</t>
  </si>
  <si>
    <t xml:space="preserve">Sondage Quorum auprès de 1 000 élus locaux.</t>
  </si>
  <si>
    <t xml:space="preserve">53 % citent le frein financier, 43 % le frein réglementaire.</t>
  </si>
  <si>
    <t xml:space="preserve">Sites d'entrée de ville identifiés (1re édition du baromètre)</t>
  </si>
  <si>
    <t xml:space="preserve">80 000 ha ; potentiel annoncé de 1,6 million de logements.</t>
  </si>
  <si>
    <t xml:space="preserve">Rappel de la 1re édition dans la 2e.</t>
  </si>
  <si>
    <t xml:space="preserve">10. Politiques publiques : moyens et résultats</t>
  </si>
  <si>
    <t xml:space="preserve">Villes ou binômes retenus dans Action Cœur de Ville</t>
  </si>
  <si>
    <t xml:space="preserve">villes ou binômes</t>
  </si>
  <si>
    <t xml:space="preserve">26/03/2018</t>
  </si>
  <si>
    <t xml:space="preserve">Lancement du programme.</t>
  </si>
  <si>
    <t xml:space="preserve">S35</t>
  </si>
  <si>
    <t xml:space="preserve">ANCT, Action Cœur de Ville (pages programme et atlas)</t>
  </si>
  <si>
    <t xml:space="preserve">https://anct.gouv.fr/programmes-dispositifs/action-coeur-de-ville</t>
  </si>
  <si>
    <t xml:space="preserve">La Cour des comptes parle de 234 villes moyennes dans 222 territoires.</t>
  </si>
  <si>
    <t xml:space="preserve">Communes lauréates d'Action Cœur de Ville</t>
  </si>
  <si>
    <t xml:space="preserve">communes</t>
  </si>
  <si>
    <t xml:space="preserve">France (dont une dizaine en outre-mer)</t>
  </si>
  <si>
    <t xml:space="preserve">Montants mobilisés par Action Cœur de Ville, phase 1</t>
  </si>
  <si>
    <t xml:space="preserve">milliards d'euros (plus de)</t>
  </si>
  <si>
    <t xml:space="preserve">2018-2022</t>
  </si>
  <si>
    <t xml:space="preserve">Ensemble des partenaires.</t>
  </si>
  <si>
    <t xml:space="preserve">Enveloppe Action Cœur de Ville, phase 2</t>
  </si>
  <si>
    <t xml:space="preserve">milliards d'euros</t>
  </si>
  <si>
    <t xml:space="preserve">2023-2026</t>
  </si>
  <si>
    <t xml:space="preserve">Accent sur les entrées de ville et les quartiers de gare.</t>
  </si>
  <si>
    <t xml:space="preserve">S36</t>
  </si>
  <si>
    <t xml:space="preserve">Banque des Territoires, Programme Action Cœur de Ville 2023-2026</t>
  </si>
  <si>
    <t xml:space="preserve">https://www.banquedesterritoires.fr/programme-action-coeur-de-ville-2026</t>
  </si>
  <si>
    <t xml:space="preserve">Commerces et locaux d'activité restructurés (ACV)</t>
  </si>
  <si>
    <t xml:space="preserve">locaux (près de)</t>
  </si>
  <si>
    <t xml:space="preserve">2018-2025</t>
  </si>
  <si>
    <t xml:space="preserve">Résultat cumulé annoncé par l'ANCT.</t>
  </si>
  <si>
    <t xml:space="preserve">Évolution de la fréquentation des villes ACV</t>
  </si>
  <si>
    <t xml:space="preserve">+2 % dans les centres-villes hors ACV.</t>
  </si>
  <si>
    <t xml:space="preserve">S26</t>
  </si>
  <si>
    <t xml:space="preserve">Cour des comptes (via AEF info, Journal des Arts, Courrier des maires), Action Cœur de Ville : rapport sur la première phase du programme</t>
  </si>
  <si>
    <t xml:space="preserve">09/2022</t>
  </si>
  <si>
    <t xml:space="preserve">https://www.aefinfo.fr/depeche/679781-action-coeur-de-ville-un-programme-ambitieux-mais-difficile-a-evaluer-selon-la-cour-des-comptes</t>
  </si>
  <si>
    <t xml:space="preserve">Évolution des transactions immobilières dans les villes ACV</t>
  </si>
  <si>
    <t xml:space="preserve">2018-2021</t>
  </si>
  <si>
    <t xml:space="preserve">Par rapport à 2018.</t>
  </si>
  <si>
    <t xml:space="preserve">Emplois soutenus par les investissements ACV</t>
  </si>
  <si>
    <t xml:space="preserve">emplois</t>
  </si>
  <si>
    <t xml:space="preserve">2018-2020</t>
  </si>
  <si>
    <t xml:space="preserve">857 M€ d'investissement générés par 335,8 M€ de financements ACV.</t>
  </si>
  <si>
    <t xml:space="preserve">Communes bénéficiant de Petites villes de demain</t>
  </si>
  <si>
    <t xml:space="preserve">31/12/2024</t>
  </si>
  <si>
    <t xml:space="preserve">Communes de moins de 20 000 habitants</t>
  </si>
  <si>
    <t xml:space="preserve">Plus de 7 millions de personnes concernées.</t>
  </si>
  <si>
    <t xml:space="preserve">S37</t>
  </si>
  <si>
    <t xml:space="preserve">ANCT, Petites villes de demain : bilan au 31 décembre 2024</t>
  </si>
  <si>
    <t xml:space="preserve">https://anct.gouv.fr/actualites/petites-villes-de-demain-3-ans-d-engagement-et-11-milliard-d-euros-investis</t>
  </si>
  <si>
    <t xml:space="preserve">Financements engagés dans Petites villes de demain</t>
  </si>
  <si>
    <t xml:space="preserve">au 31/12/2024</t>
  </si>
  <si>
    <t xml:space="preserve">Communes PVD</t>
  </si>
  <si>
    <t xml:space="preserve">3 milliards prévus ; effet de levier de l'État estimé entre 4 et 5.</t>
  </si>
  <si>
    <t xml:space="preserve">Plan commerce de la Banque des Territoires</t>
  </si>
  <si>
    <t xml:space="preserve">milliard d'euros</t>
  </si>
  <si>
    <t xml:space="preserve">Dont 800 M€ pour les foncières de redynamisation (300 M€ en fonds propres, 500 M€ en prêts).</t>
  </si>
  <si>
    <t xml:space="preserve">S38</t>
  </si>
  <si>
    <t xml:space="preserve">Banque des Territoires, La Banque des Territoires déploie un milliard d'euros pour soutenir le commerce</t>
  </si>
  <si>
    <t xml:space="preserve">https://www.banquedesterritoires.fr/la-banque-des-territoires-deploie-un-milliard-deuros-pour-soutenir-le-commerce</t>
  </si>
  <si>
    <t xml:space="preserve">Objectif de commerces remis sur le marché par les foncières</t>
  </si>
  <si>
    <t xml:space="preserve">commerces</t>
  </si>
  <si>
    <t xml:space="preserve">Objectif d'une centaine de foncières.</t>
  </si>
  <si>
    <t xml:space="preserve">Projets soutenus par le plan de transformation des zones commerciales</t>
  </si>
  <si>
    <t xml:space="preserve">74 lauréats en mars 2024 (26 M€, dont 20,3 M€ de travaux) et 16 en mai 2024 (5,4 M€) ; 31,4 M€ au total.</t>
  </si>
  <si>
    <t xml:space="preserve">S39</t>
  </si>
  <si>
    <t xml:space="preserve">Ministère de l'Économie / DGE, Plan de transformation des zones commerciales : annonce des lauréats</t>
  </si>
  <si>
    <t xml:space="preserve">29/03/2024 et 24/05/2024</t>
  </si>
  <si>
    <t xml:space="preserve">https://www.entreprises.gouv.fr/la-direction-generale-des-entreprises/actualites/annonce-74-laureats-plan-transformation-zones-commerciales</t>
  </si>
  <si>
    <t xml:space="preserve">Potentiel annoncé : 25 000 logements pour les 74 premiers projets.</t>
  </si>
  <si>
    <t xml:space="preserve">Aides publiques attribuées au commerce de proximité</t>
  </si>
  <si>
    <t xml:space="preserve">millions d'euros (environ)</t>
  </si>
  <si>
    <t xml:space="preserve">Ensemble des soutiens recensés par la Cour ; bascule des aides économiques directes vers les programmes territoriaux (ACV, PVD).</t>
  </si>
  <si>
    <t xml:space="preserve">Via relais (veille du CEP).</t>
  </si>
  <si>
    <t xml:space="preserve">Crédits du FISAC</t>
  </si>
  <si>
    <t xml:space="preserve">millions d'euros</t>
  </si>
  <si>
    <t xml:space="preserve">80 M€ en 2007 ; fonds supprimé ensuite.</t>
  </si>
  <si>
    <t xml:space="preserve">Commerces ayant bénéficié d'un soutien direct</t>
  </si>
  <si>
    <t xml:space="preserve">2018-2022 (à vérifier)</t>
  </si>
  <si>
    <t xml:space="preserve">Pour un montant de 79,5 M€ ; champ exact (aides des collectivités ?) à vérifier.</t>
  </si>
  <si>
    <t xml:space="preserve">« Chèques numériques » attribués aux commerces</t>
  </si>
  <si>
    <t xml:space="preserve">chèques</t>
  </si>
  <si>
    <t xml:space="preserve">2021-2022 (plan de relance)</t>
  </si>
  <si>
    <t xml:space="preserve">Aide à la numérisation des petits commerces.</t>
  </si>
  <si>
    <t xml:space="preserve">Recommandations de la mission sur l'avenir du commerce de proximité</t>
  </si>
  <si>
    <t xml:space="preserve">recommandations</t>
  </si>
  <si>
    <t xml:space="preserve">Centres-villes et QPV</t>
  </si>
  <si>
    <t xml:space="preserve">Cinq axes ; neuf mesures retenues par le Gouvernement.</t>
  </si>
  <si>
    <t xml:space="preserve">Mesures proposées par le Sénat (rapport n° 910)</t>
  </si>
  <si>
    <t xml:space="preserve">mesures</t>
  </si>
  <si>
    <t xml:space="preserve">Cinq priorités, dont un objectif de « zéro artificialisation commerciale nette » en périphérie.</t>
  </si>
  <si>
    <t xml:space="preserve">11. Littérature économique : effets mesurés</t>
  </si>
  <si>
    <t xml:space="preserve">Petits commerces alimentaires de centre-ville disparus dans les 4 ans suivant l'entrée d'une grande surface</t>
  </si>
  <si>
    <t xml:space="preserve">20 à 30</t>
  </si>
  <si>
    <t xml:space="preserve">étude citée par le CAE</t>
  </si>
  <si>
    <t xml:space="preserve">Espagne</t>
  </si>
  <si>
    <t xml:space="preserve">75 % des emplacements libérés sont repris par d'autres petits commerces, non alimentaires.</t>
  </si>
  <si>
    <t xml:space="preserve">Étude espagnole citée par la note du CAE ; référence d'origine non relue.</t>
  </si>
  <si>
    <t xml:space="preserve">Emplois créés dans le commerce de détail l'année suivant l'ouverture d'un Walmart</t>
  </si>
  <si>
    <t xml:space="preserve">études citées par le CAE</t>
  </si>
  <si>
    <t xml:space="preserve">États-Unis (comté)</t>
  </si>
  <si>
    <t xml:space="preserve">La moitié a disparu au bout de cinq ans ; sortie nette de 4 établissements en cinq ans ; pas d'effet mesurable dans les comtés voisins.</t>
  </si>
  <si>
    <t xml:space="preserve">Littérature américaine citée par le CAE.</t>
  </si>
  <si>
    <t xml:space="preserve">Sources</t>
  </si>
  <si>
    <t xml:space="preserve">Le nombre de chiffres est calculé à partir de l'onglet « Chiffres » (0 = source utilisée seulement pour l'analyse qualitative).</t>
  </si>
  <si>
    <t xml:space="preserve">Réf.</t>
  </si>
  <si>
    <t xml:space="preserve">Auteur / organisme</t>
  </si>
  <si>
    <t xml:space="preserve">Titre</t>
  </si>
  <si>
    <t xml:space="preserve">Nb de chiffres dans l'onglet « Chiffres »</t>
  </si>
  <si>
    <t xml:space="preserve">Cerema</t>
  </si>
  <si>
    <t xml:space="preserve">Accompagner la mutation des zones commerciales de périphérie</t>
  </si>
  <si>
    <t xml:space="preserve">Les données de géolocalisation des 1500 zones commerciales de périphérie sont en open data (base EmpCom)</t>
  </si>
  <si>
    <t xml:space="preserve">Zones commerciales et centres-villes : trouver le bon équilibre</t>
  </si>
  <si>
    <t xml:space="preserve">Déterminer le potentiel de réindustrialisation des friches dans les zones commerciales</t>
  </si>
  <si>
    <t xml:space="preserve">Bédué M. et Cohen C. (Insee)</t>
  </si>
  <si>
    <t xml:space="preserve">Le commerce de proximité : des pôles plus florissants en périphérie qu'en centre-ville, Insee Première n° 1858</t>
  </si>
  <si>
    <t xml:space="preserve">Cazaubiel A. et Guymarc G. (Insee)</t>
  </si>
  <si>
    <t xml:space="preserve">Commerce de proximité dans les villes de taille intermédiaire, Insee Première n° 1782</t>
  </si>
  <si>
    <t xml:space="preserve">Bloch K. et Pichavant A.-S. (Insee)</t>
  </si>
  <si>
    <t xml:space="preserve">Entre 2016 et 2022, l'emploi salarié des points de vente progresse davantage en dehors des centres-villes, Insee Première n° 2091</t>
  </si>
  <si>
    <t xml:space="preserve">Gouvernement (ministères Économie, Transition écologique, Cohésion des territoires)</t>
  </si>
  <si>
    <t xml:space="preserve">Un nouvel horizon pour les zones commerciales, dossier de presse</t>
  </si>
  <si>
    <t xml:space="preserve">Procos</t>
  </si>
  <si>
    <t xml:space="preserve">Dossier de presse, conférence annuelle</t>
  </si>
  <si>
    <t xml:space="preserve">CNAC / Direction générale des Entreprises</t>
  </si>
  <si>
    <t xml:space="preserve">Rapport d'activité 2024 de la Commission nationale d'aménagement commercial</t>
  </si>
  <si>
    <t xml:space="preserve">Icade et SCET</t>
  </si>
  <si>
    <t xml:space="preserve">Baromètre des entrées de ville, 2e édition : cap sur les projets</t>
  </si>
  <si>
    <t xml:space="preserve">Allain M.-L. et Epaulard A. (CAE)</t>
  </si>
  <si>
    <t xml:space="preserve">Petits commerces : déclin ou mutation ?, Les notes du CAE n° 77</t>
  </si>
  <si>
    <t xml:space="preserve">Rexecode</t>
  </si>
  <si>
    <t xml:space="preserve">Répartition des ventes du commerce de détail par lieu de vente, d'après Insee, Procos et Fevad</t>
  </si>
  <si>
    <t xml:space="preserve">Codata</t>
  </si>
  <si>
    <t xml:space="preserve">Codata Digest 2026 (relayé par L'Échommerces)</t>
  </si>
  <si>
    <t xml:space="preserve">L'Échommerces, d'après Codata</t>
  </si>
  <si>
    <t xml:space="preserve">La vacance commerciale progresse de nouveau en France</t>
  </si>
  <si>
    <t xml:space="preserve">Quel bilan tirer du plan ACV sur la vacance commerciale des centres-villes de villes moyennes ? (étude Codata / FACT)</t>
  </si>
  <si>
    <t xml:space="preserve">Points de Vente, d'après le baromètre Codata / FACT</t>
  </si>
  <si>
    <t xml:space="preserve">La hausse de la vacance commerciale reprend dans les centres-villes</t>
  </si>
  <si>
    <t xml:space="preserve">Public Sénat, citant un rapport du CGEDD (2016)</t>
  </si>
  <si>
    <t xml:space="preserve">Revitalisation des centres-villes : un rapport du Sénat pointe un sous-financement</t>
  </si>
  <si>
    <t xml:space="preserve">CGEDD et IGF (cité par le Cerema)</t>
  </si>
  <si>
    <t xml:space="preserve">Rapport interministériel sur la revitalisation commerciale des centres-villes</t>
  </si>
  <si>
    <t xml:space="preserve">Banque des Territoires, d'après l'Institut pour la Ville et le Commerce</t>
  </si>
  <si>
    <t xml:space="preserve">Vacance commerciale : les remèdes de l'Institut pour la Ville et le Commerce</t>
  </si>
  <si>
    <t xml:space="preserve">Banque des Territoires</t>
  </si>
  <si>
    <t xml:space="preserve">La progression de la vacance commerciale ralentit, surtout dans les villes moyennes</t>
  </si>
  <si>
    <t xml:space="preserve">Sénat, mission conjointe de contrôle</t>
  </si>
  <si>
    <t xml:space="preserve">Revitalisation des centres-villes et des centres-bourgs : entre enthousiasme et frustrations, rapport d'information n° 910 (2021-2022)</t>
  </si>
  <si>
    <t xml:space="preserve">Cour des comptes</t>
  </si>
  <si>
    <t xml:space="preserve">La politique de l'État en faveur du commerce de proximité, rapport public thématique (période 2017-2022)</t>
  </si>
  <si>
    <t xml:space="preserve">S24</t>
  </si>
  <si>
    <t xml:space="preserve">Rapport public annuel 2016, tome 2 : la politique de la ville</t>
  </si>
  <si>
    <t xml:space="preserve">https://www.ccomptes.fr/sites/default/files/EzPublish/07-politique-de-la-ville-RPA2016-Tome-2.pdf</t>
  </si>
  <si>
    <t xml:space="preserve">S25</t>
  </si>
  <si>
    <t xml:space="preserve">L'évaluation de l'attractivité des quartiers prioritaires (rapport public thématique)</t>
  </si>
  <si>
    <t xml:space="preserve">à préciser</t>
  </si>
  <si>
    <t xml:space="preserve">https://www.ccomptes.fr/fr/publications/levaluation-de-lattractivite-des-quartiers-prioritaires</t>
  </si>
  <si>
    <t xml:space="preserve">Cour des comptes (via AEF info, Journal des Arts, Courrier des maires)</t>
  </si>
  <si>
    <t xml:space="preserve">Action Cœur de Ville : rapport sur la première phase du programme</t>
  </si>
  <si>
    <t xml:space="preserve">Mission sur l'avenir du commerce de proximité (rapport remis au Gouvernement)</t>
  </si>
  <si>
    <t xml:space="preserve">Rapport sur l'avenir du commerce de proximité dans les centres-villes et les QPV</t>
  </si>
  <si>
    <t xml:space="preserve">Direction générale des Entreprises</t>
  </si>
  <si>
    <t xml:space="preserve">Mission sur l'avenir du commerce de proximité : neuf mesures retenues</t>
  </si>
  <si>
    <t xml:space="preserve">S29</t>
  </si>
  <si>
    <t xml:space="preserve">Sénat</t>
  </si>
  <si>
    <t xml:space="preserve">Un nouveau pacte de solidarité pour les quartiers, rapport n° 49 (2006-2007)</t>
  </si>
  <si>
    <t xml:space="preserve">2006</t>
  </si>
  <si>
    <t xml:space="preserve">https://www.senat.fr/rap/r06-049-1/r06-049-1_mono.html</t>
  </si>
  <si>
    <t xml:space="preserve">ONPV / ANCT</t>
  </si>
  <si>
    <t xml:space="preserve">Comprendre le tissu économique en QPV : une hausse du nombre d'entreprises</t>
  </si>
  <si>
    <t xml:space="preserve">Observatoire des inégalités, d'après l'ONPV</t>
  </si>
  <si>
    <t xml:space="preserve">Le chômage dans les quartiers prioritaires</t>
  </si>
  <si>
    <t xml:space="preserve">Observatoire des inégalités, d'après l'Insee</t>
  </si>
  <si>
    <t xml:space="preserve">Les revenus et la pauvreté dans les quartiers les plus en difficulté</t>
  </si>
  <si>
    <t xml:space="preserve">ANCT</t>
  </si>
  <si>
    <t xml:space="preserve">Quartiers prioritaires de la politique de la ville</t>
  </si>
  <si>
    <t xml:space="preserve">ANRU</t>
  </si>
  <si>
    <t xml:space="preserve">Le commerce dans les quartiers prioritaires en renouvellement urbain</t>
  </si>
  <si>
    <t xml:space="preserve">Action Cœur de Ville (pages programme et atlas)</t>
  </si>
  <si>
    <t xml:space="preserve">Programme Action Cœur de Ville 2023-2026</t>
  </si>
  <si>
    <t xml:space="preserve">Petites villes de demain : bilan au 31 décembre 2024</t>
  </si>
  <si>
    <t xml:space="preserve">La Banque des Territoires déploie un milliard d'euros pour soutenir le commerce</t>
  </si>
  <si>
    <t xml:space="preserve">Ministère de l'Économie / DGE</t>
  </si>
  <si>
    <t xml:space="preserve">Plan de transformation des zones commerciales : annonce des lauréats</t>
  </si>
  <si>
    <t xml:space="preserve">2023, année de transition de l'aménagement commercial ?</t>
  </si>
  <si>
    <t xml:space="preserve">CGDD / Cerema</t>
  </si>
  <si>
    <t xml:space="preserve">Portail de l'artificialisation : consommation d'espaces naturels, agricoles et forestiers 2011-2025</t>
  </si>
  <si>
    <t xml:space="preserve">Artificialisation des sols : quelle dynamique ? / données de consommation foncière 2009-2023</t>
  </si>
  <si>
    <t xml:space="preserve">S43</t>
  </si>
  <si>
    <t xml:space="preserve">Assemblée nationale, commission du développement durable</t>
  </si>
  <si>
    <t xml:space="preserve">Rapport d'information n° 4968 sur le rôle et l'avenir des commerces de proximité</t>
  </si>
  <si>
    <t xml:space="preserve">26/01/2022</t>
  </si>
  <si>
    <t xml:space="preserve">https://www.assemblee-nationale.fr/dyn/15/rapports/cion-dvp/l15b4968_rapport-information.pdf</t>
  </si>
  <si>
    <t xml:space="preserve">LSA Conso</t>
  </si>
  <si>
    <t xml:space="preserve">La périphérie urbaine aimante le commerce</t>
  </si>
  <si>
    <t xml:space="preserve">Légifrance</t>
  </si>
  <si>
    <t xml:space="preserve">Lois n° 73-1193 (Royer), 96-603 (Raffarin), 2008-776 (LME), 2018-1021 (ELAN), 2021-1104 (Climat et résilience) ; décret du 13/10/2022</t>
  </si>
  <si>
    <t xml:space="preserve">EPARECA / LSA Conso ; CGET</t>
  </si>
  <si>
    <t xml:space="preserve">L'Epareca aide les quartiers sensibles ; De nouvelles opérations pour le commerce et l'artisanat en QPV</t>
  </si>
  <si>
    <t xml:space="preserve">Dossier de presse, restructuration d'un centre commercial en QPV au Mans</t>
  </si>
  <si>
    <t xml:space="preserve">S48</t>
  </si>
  <si>
    <t xml:space="preserve">Le développement des activités commerciales en centre-ville, rapport au ministre chargé du commerce (RPA 2026)</t>
  </si>
  <si>
    <t xml:space="preserve">05/03/2026</t>
  </si>
  <si>
    <t xml:space="preserve">https://www.vie-publique.fr/rapport/24822-le-developpement-des-activites-commerciales-en-centre-ville-rapport-au</t>
  </si>
  <si>
    <t xml:space="preserve">S49</t>
  </si>
  <si>
    <t xml:space="preserve">IGF et IGEDD</t>
  </si>
  <si>
    <t xml:space="preserve">La revitalisation commerciale des centres-villes</t>
  </si>
  <si>
    <t xml:space="preserve">https://www.igf.finances.gouv.fr/igf/accueil/nos-activites/rapports-de-missions/liste-de-tous-les-rapports-de-mi/la-revitalisation-commerciale-de.html</t>
  </si>
  <si>
    <t xml:space="preserve">S50</t>
  </si>
  <si>
    <t xml:space="preserve">Bertrand M. et Kramarz F.</t>
  </si>
  <si>
    <t xml:space="preserve">Does Entry Regulation Hinder Job Creation? Evidence from the French Retail Industry, Quarterly Journal of Economics, 117(4)</t>
  </si>
  <si>
    <t xml:space="preserve">2002</t>
  </si>
  <si>
    <t xml:space="preserve">S51</t>
  </si>
  <si>
    <t xml:space="preserve">Sadun R.</t>
  </si>
  <si>
    <t xml:space="preserve">Does Planning Regulation Protect Independent Retailers?, Review of Economics and Statistics, 97(5)</t>
  </si>
  <si>
    <t xml:space="preserve">S52</t>
  </si>
  <si>
    <t xml:space="preserve">Quantin S. et Turner L. (Insee)</t>
  </si>
  <si>
    <t xml:space="preserve">Le développement des grandes surfaces et son impact sur la durée de vie du petit commerce alimentaire de proximité, Journées de méthodologie statistique</t>
  </si>
  <si>
    <t xml:space="preserve">Cour des comptes (RPA 2026, via synthèse)</t>
  </si>
  <si>
    <t xml:space="preserve">Rapport public annuel 2026 : cohésion territoriale et attractivité des territoires</t>
  </si>
  <si>
    <t xml:space="preserve">Données et sources manquantes pour une évaluation complète</t>
  </si>
  <si>
    <t xml:space="preserve">Ce qu'il faudrait pour mesurer l'influence propre des zones périphériques sur les centres-villes et les QPV, et non une simple corrélation.</t>
  </si>
  <si>
    <t xml:space="preserve">Catégorie</t>
  </si>
  <si>
    <t xml:space="preserve">Besoin d'évaluation</t>
  </si>
  <si>
    <t xml:space="preserve">Donnée ou document manquant</t>
  </si>
  <si>
    <t xml:space="preserve">Producteur / détenteur</t>
  </si>
  <si>
    <t xml:space="preserve">Ce que cela permettrait de mesurer</t>
  </si>
  <si>
    <t xml:space="preserve">Conditions d'accès</t>
  </si>
  <si>
    <t xml:space="preserve">Statut dans nos travaux</t>
  </si>
  <si>
    <t xml:space="preserve">Priorité</t>
  </si>
  <si>
    <t xml:space="preserve">Démarche suggérée</t>
  </si>
  <si>
    <t xml:space="preserve">Données statistiques</t>
  </si>
  <si>
    <t xml:space="preserve">Mesurer l'offre en surfaces, pas seulement en nombre d'établissements</t>
  </si>
  <si>
    <t xml:space="preserve">Surfaces de vente par établissement (fichier de la taxe sur les surfaces commerciales, TASCOM)</t>
  </si>
  <si>
    <t xml:space="preserve">DGFiP ; DGE</t>
  </si>
  <si>
    <t xml:space="preserve">Pondérer chaque commerce par sa surface ; suivre l'ouverture des grandes surfaces dans le temps</t>
  </si>
  <si>
    <t xml:space="preserve">Non ouvert : demande à la DGFiP ou à la DGE</t>
  </si>
  <si>
    <t xml:space="preserve">Manquant</t>
  </si>
  <si>
    <t xml:space="preserve">Haute</t>
  </si>
  <si>
    <t xml:space="preserve">Demander à la DGE (bureau du commerce) l'accès à une extraction anonymisée par commune</t>
  </si>
  <si>
    <t xml:space="preserve">Identifier les ouvertures de surfaces en périphérie projet par projet</t>
  </si>
  <si>
    <t xml:space="preserve">Base consolidée des décisions CDAC / CNAC (date, adresse, surface, enseigne, autorisation ou refus)</t>
  </si>
  <si>
    <t xml:space="preserve">DGE (secrétariat de la CNAC) ; préfectures</t>
  </si>
  <si>
    <t xml:space="preserve">Comparer les territoires où un projet a été autorisé et ceux où il a été refusé (approche quasi expérimentale)</t>
  </si>
  <si>
    <t xml:space="preserve">Décisions publiées une à une ; pas de base ouverte consolidée</t>
  </si>
  <si>
    <t xml:space="preserve">Demander la base nationale à la DGE ; à défaut, Kyris / Procos (payant)</t>
  </si>
  <si>
    <t xml:space="preserve">Mesurer la vacance commerciale au niveau local</t>
  </si>
  <si>
    <t xml:space="preserve">Locaux d'activité vacants (fichiers fonciers, base LOCOMVAC du Cerema) ; relevés de terrain Codata</t>
  </si>
  <si>
    <t xml:space="preserve">Cerema (fichiers fonciers) ; Codata (privé)</t>
  </si>
  <si>
    <t xml:space="preserve">Mesurer directement la vacance en centre-ville et en QPV, au lieu du nombre d'établissements</t>
  </si>
  <si>
    <t xml:space="preserve">Fichiers fonciers : convention réservée aux acteurs publics et chercheurs ; Codata : payant</t>
  </si>
  <si>
    <t xml:space="preserve">Demander l'accès aux fichiers fonciers via le Cerema (DataFoncier) ; outil de diagnostic de la vacance annoncé par la mission de 2025</t>
  </si>
  <si>
    <t xml:space="preserve">Mesurer l'activité réelle (chiffre d'affaires, dépenses)</t>
  </si>
  <si>
    <t xml:space="preserve">Dépenses par carte bancaire localisées (lieu d'achat et lieu de résidence)</t>
  </si>
  <si>
    <t xml:space="preserve">Groupements bancaires (CB, Crédit Mutuel Alliance Fédérale…) ; Insee en partenariat</t>
  </si>
  <si>
    <t xml:space="preserve">Savoir où consomment les habitants des centres et des QPV, et ce que la périphérie capte</t>
  </si>
  <si>
    <t xml:space="preserve">Accès par partenariat de recherche</t>
  </si>
  <si>
    <t xml:space="preserve">S'inspirer de l'Insee Première n° 2075 (achats frontaliers) qui utilise ces données</t>
  </si>
  <si>
    <t xml:space="preserve">Mesurer l'emploi salarié par établissement</t>
  </si>
  <si>
    <t xml:space="preserve">Base tous salariés / DSN ; FLORES</t>
  </si>
  <si>
    <t xml:space="preserve">Insee</t>
  </si>
  <si>
    <t xml:space="preserve">Remplacer le critère employeur oui/non par les effectifs ; reproduire les pôles de l'Insee</t>
  </si>
  <si>
    <t xml:space="preserve">Accès sécurisé (CASD) sur projet</t>
  </si>
  <si>
    <t xml:space="preserve">Partiel (Sirene donne seulement le caractère employeur)</t>
  </si>
  <si>
    <t xml:space="preserve">Moyenne</t>
  </si>
  <si>
    <t xml:space="preserve">Déposer une demande CASD, ou demander des tableaux à façon à l'Insee</t>
  </si>
  <si>
    <t xml:space="preserve">Disposer de la géographie des pôles commerciaux de l'Insee</t>
  </si>
  <si>
    <t xml:space="preserve">Pôles du commerce de proximité (Insee Première n° 1858 et 2091)</t>
  </si>
  <si>
    <t xml:space="preserve">Comparer directement nos zones (Cerema) avec les pôles de périphérie et de centre-ville de l'Insee</t>
  </si>
  <si>
    <t xml:space="preserve">Fichiers de données des publications partiellement en ligne ; contours non publiés</t>
  </si>
  <si>
    <t xml:space="preserve">Récupérer les fichiers xlsx des publications ; demander les contours à l'Insee</t>
  </si>
  <si>
    <t xml:space="preserve">Suivre la date de création des zones et leurs extensions</t>
  </si>
  <si>
    <t xml:space="preserve">Historique des contours des zones commerciales ; dates de construction des locaux (fichiers fonciers)</t>
  </si>
  <si>
    <t xml:space="preserve">EmpCom est figée en 2021 : impossible de dater l'arrivée d'une zone près d'un centre</t>
  </si>
  <si>
    <t xml:space="preserve">Fichiers fonciers sous convention</t>
  </si>
  <si>
    <t xml:space="preserve">Reconstituer les dates via les fichiers fonciers ou Sitadel</t>
  </si>
  <si>
    <t xml:space="preserve">Mesurer les flux de clients</t>
  </si>
  <si>
    <t xml:space="preserve">Fréquentation piétonne et flux de mobilité (comptages, données de téléphonie)</t>
  </si>
  <si>
    <t xml:space="preserve">Procos / Stackr, MyTraffic, Orange Flux Vision (privés)</t>
  </si>
  <si>
    <t xml:space="preserve">Mesurer la fréquentation des centres et des QPV avant et après l'ouverture d'une zone</t>
  </si>
  <si>
    <t xml:space="preserve">Payant</t>
  </si>
  <si>
    <t xml:space="preserve">Partenariat ponctuel sur quelques villes tests</t>
  </si>
  <si>
    <t xml:space="preserve">Comprendre les déplacements d'achat des habitants des QPV</t>
  </si>
  <si>
    <t xml:space="preserve">Enquêtes mobilité (EMP 2019, enquêtes ménages-déplacements locales)</t>
  </si>
  <si>
    <t xml:space="preserve">SDES / Insee ; Cerema et autorités organisatrices</t>
  </si>
  <si>
    <t xml:space="preserve">Mesurer la part des achats des habitants de QPV réalisés en périphérie</t>
  </si>
  <si>
    <t xml:space="preserve">Fichiers détail via ADISP / CASD ; enquêtes locales sur demande</t>
  </si>
  <si>
    <t xml:space="preserve">Exploiter les enquêtes ménages-déplacements des grandes agglomérations</t>
  </si>
  <si>
    <t xml:space="preserve">Contrôler le pouvoir d'achat local</t>
  </si>
  <si>
    <t xml:space="preserve">Revenus carroyés (Filosofi), revenus par QPV</t>
  </si>
  <si>
    <t xml:space="preserve">Isoler l'effet du revenu, que la Cour des comptes cite comme première cause</t>
  </si>
  <si>
    <t xml:space="preserve">Ouvert</t>
  </si>
  <si>
    <t xml:space="preserve">Disponible, non intégré à notre analyse</t>
  </si>
  <si>
    <t xml:space="preserve">Ajouter Filosofi aux modèles</t>
  </si>
  <si>
    <t xml:space="preserve">Suivre les surfaces commerciales construites</t>
  </si>
  <si>
    <t xml:space="preserve">Sitadel (permis de construire, locaux commerciaux autorisés et commencés)</t>
  </si>
  <si>
    <t xml:space="preserve">SDES</t>
  </si>
  <si>
    <t xml:space="preserve">Mesurer la construction commerciale par commune et par année</t>
  </si>
  <si>
    <t xml:space="preserve">Disponible, non intégré</t>
  </si>
  <si>
    <t xml:space="preserve">Télécharger les séries communales de locaux d'activité</t>
  </si>
  <si>
    <t xml:space="preserve">Suivre les grands magasins et leurs dates d'ouverture</t>
  </si>
  <si>
    <t xml:space="preserve">Base permanente des équipements (hypermarchés, supermarchés, grandes surfaces spécialisées) ; bases de points de vente (LSA Expert, Nielsen)</t>
  </si>
  <si>
    <t xml:space="preserve">Insee (BPE, ouverte) ; LSA, Nielsen (payant)</t>
  </si>
  <si>
    <t xml:space="preserve">Repérer les ouvertures de grandes surfaces avec leur format</t>
  </si>
  <si>
    <t xml:space="preserve">BPE ouverte ; bases privées payantes</t>
  </si>
  <si>
    <t xml:space="preserve">Partiel</t>
  </si>
  <si>
    <t xml:space="preserve">Croiser la BPE annuelle avec Sirene</t>
  </si>
  <si>
    <t xml:space="preserve">Évaluer l'effet des politiques publiques</t>
  </si>
  <si>
    <t xml:space="preserve">Listes et dates des communes en ORT, ACV, PVD, lauréats du plan zones commerciales ; périmètres d'ORT</t>
  </si>
  <si>
    <t xml:space="preserve">ANCT ; DGE</t>
  </si>
  <si>
    <t xml:space="preserve">Distinguer l'effet de la périphérie de celui des programmes de revitalisation</t>
  </si>
  <si>
    <t xml:space="preserve">Listes ACV / PVD ouvertes ; périmètres ORT à vérifier</t>
  </si>
  <si>
    <t xml:space="preserve">Récupérer les listes sur data.gouv.fr et les dates de signature des conventions</t>
  </si>
  <si>
    <t xml:space="preserve">Mesurer les loyers et la valeur des locaux</t>
  </si>
  <si>
    <t xml:space="preserve">Loyers commerciaux, valeurs locatives des locaux professionnels, transactions (DVF)</t>
  </si>
  <si>
    <t xml:space="preserve">DGFiP (valeurs locatives, DVF) ; observatoires privés</t>
  </si>
  <si>
    <t xml:space="preserve">Voir si la périphérie fait baisser les loyers en centre</t>
  </si>
  <si>
    <t xml:space="preserve">DVF ouvert ; valeurs locatives par secteur publiées ; loyers privés payants</t>
  </si>
  <si>
    <t xml:space="preserve">Basse</t>
  </si>
  <si>
    <t xml:space="preserve">Commencer par DVF (ventes de locaux commerciaux)</t>
  </si>
  <si>
    <t xml:space="preserve">Mesurer la vacance spécifique aux QPV</t>
  </si>
  <si>
    <t xml:space="preserve">Indicateur consolidé de vacance commerciale en QPV</t>
  </si>
  <si>
    <t xml:space="preserve">ONPV / ANCT ; ANRU</t>
  </si>
  <si>
    <t xml:space="preserve">Aucun indicateur national n'existe aujourd'hui</t>
  </si>
  <si>
    <t xml:space="preserve">Inexistant</t>
  </si>
  <si>
    <t xml:space="preserve">Signaler le manque ; s'appuyer sur les diagnostics ANRU</t>
  </si>
  <si>
    <t xml:space="preserve">Disposer de données comparables en Europe</t>
  </si>
  <si>
    <t xml:space="preserve">Données harmonisées sur la localisation du commerce (centre / périphérie) dans les pays de l'UE</t>
  </si>
  <si>
    <t xml:space="preserve">Eurostat ; JRC ; offices statistiques nationaux</t>
  </si>
  <si>
    <t xml:space="preserve">Comparer la France aux autres pays européens</t>
  </si>
  <si>
    <t xml:space="preserve">Pas de base harmonisée identifiée</t>
  </si>
  <si>
    <t xml:space="preserve">Recenser les études nationales (Royaume-Uni, Allemagne, Pays-Bas)</t>
  </si>
  <si>
    <t xml:space="preserve">Documents non consultés en intégralité</t>
  </si>
  <si>
    <t xml:space="preserve">Disposer des derniers constats officiels</t>
  </si>
  <si>
    <t xml:space="preserve">Cour des comptes, « Le développement des activités commerciales en centre-ville » (mars 2026)</t>
  </si>
  <si>
    <t xml:space="preserve">Rapport le plus récent sur le sujet</t>
  </si>
  <si>
    <t xml:space="preserve">Ouvert (ccomptes.fr)</t>
  </si>
  <si>
    <t xml:space="preserve">Non consulté (erreur d'accès)</t>
  </si>
  <si>
    <t xml:space="preserve">Lire le rapport et ajouter ses chiffres</t>
  </si>
  <si>
    <t xml:space="preserve">Disposer des constats officiels sur les QPV</t>
  </si>
  <si>
    <t xml:space="preserve">Rapport de la mission sur l'avenir du commerce de proximité (nov. 2025), version intégrale</t>
  </si>
  <si>
    <t xml:space="preserve">Mission gouvernementale ; Banque des Territoires</t>
  </si>
  <si>
    <t xml:space="preserve">Diagnostic propre aux QPV</t>
  </si>
  <si>
    <t xml:space="preserve">Lu via des synthèses</t>
  </si>
  <si>
    <t xml:space="preserve">Lire le rapport intégral</t>
  </si>
  <si>
    <t xml:space="preserve">Disposer des données de l'ANRU</t>
  </si>
  <si>
    <t xml:space="preserve">ANRU, « Le commerce dans les quartiers prioritaires en renouvellement urbain » (2025)</t>
  </si>
  <si>
    <t xml:space="preserve">Diagnostic commercial des quartiers en renouvellement urbain</t>
  </si>
  <si>
    <t xml:space="preserve">Non consulté (erreurs serveur)</t>
  </si>
  <si>
    <t xml:space="preserve">Réessayer le téléchargement</t>
  </si>
  <si>
    <t xml:space="preserve">Vérifier les chiffres du rapport sur le commerce de proximité</t>
  </si>
  <si>
    <t xml:space="preserve">Cour des comptes, « La politique de l'État en faveur du commerce de proximité » (29/09/2023), rapport complet</t>
  </si>
  <si>
    <t xml:space="preserve">Chiffres sur la taille du secteur, la vacance, les aides publiques 2018-2022</t>
  </si>
  <si>
    <t xml:space="preserve">Lu via des relais (site inaccessible depuis notre environnement)</t>
  </si>
  <si>
    <t xml:space="preserve">Télécharger le PDF depuis un poste personnel et vérifier les chiffres notés C</t>
  </si>
  <si>
    <t xml:space="preserve">Disposer du rapport du Sénat</t>
  </si>
  <si>
    <t xml:space="preserve">Sénat, rapport n° 910 (2022), version intégrale</t>
  </si>
  <si>
    <t xml:space="preserve">Chiffres détaillés sur l'offre périphérique</t>
  </si>
  <si>
    <t xml:space="preserve">Lu via la page de synthèse</t>
  </si>
  <si>
    <t xml:space="preserve">Lire le chapitre sur les causes</t>
  </si>
  <si>
    <t xml:space="preserve">Disposer du rapport IGF / IGEDD</t>
  </si>
  <si>
    <t xml:space="preserve">IGF / IGEDD, « La revitalisation commerciale des centres-villes »</t>
  </si>
  <si>
    <t xml:space="preserve">IGF ; IGEDD</t>
  </si>
  <si>
    <t xml:space="preserve">Évaluation des dispositifs</t>
  </si>
  <si>
    <t xml:space="preserve">Non consulté</t>
  </si>
  <si>
    <t xml:space="preserve">Lire le rapport</t>
  </si>
  <si>
    <t xml:space="preserve">Disposer des travaux économétriques français</t>
  </si>
  <si>
    <t xml:space="preserve">Quantin et Turner (2015), grandes surfaces et durée de vie des petits commerces alimentaires</t>
  </si>
  <si>
    <t xml:space="preserve">Seule étude française identifiée sur l'effet d'une grande surface sur la survie des petits commerces</t>
  </si>
  <si>
    <t xml:space="preserve">Actes des Journées de méthodologie statistique</t>
  </si>
  <si>
    <t xml:space="preserve">Connu via la note du CAE</t>
  </si>
  <si>
    <t xml:space="preserve">Retrouver le texte et ses résultats chiffrés</t>
  </si>
  <si>
    <t xml:space="preserve">Vérifier les chiffres de vacance</t>
  </si>
  <si>
    <t xml:space="preserve">Baromètres Codata et FACT, versions d'origine</t>
  </si>
  <si>
    <t xml:space="preserve">Codata ; FACT</t>
  </si>
  <si>
    <t xml:space="preserve">Les chiffres circulent via la presse avec des valeurs différentes</t>
  </si>
  <si>
    <t xml:space="preserve">Partiellement payant</t>
  </si>
  <si>
    <t xml:space="preserve">Lu via des relais</t>
  </si>
  <si>
    <t xml:space="preserve">Demander les baromètres à Codata / FACT</t>
  </si>
  <si>
    <t xml:space="preserve">Vérifier les répartitions des ventes</t>
  </si>
  <si>
    <t xml:space="preserve">Rexecode (2024), répartition des ventes par lieu</t>
  </si>
  <si>
    <t xml:space="preserve">Source des 67 % (internet compris)</t>
  </si>
  <si>
    <t xml:space="preserve">À vérifier</t>
  </si>
  <si>
    <t xml:space="preserve">Repris de la présentation</t>
  </si>
  <si>
    <t xml:space="preserve">Retrouver la publication d'origine</t>
  </si>
  <si>
    <t xml:space="preserve">Disposer des études historiques sur les quartiers</t>
  </si>
  <si>
    <t xml:space="preserve">CREDOC, « Commerces et zones urbaines sensibles » et « Le commerce dans les cités »</t>
  </si>
  <si>
    <t xml:space="preserve">CREDOC</t>
  </si>
  <si>
    <t xml:space="preserve">Données anciennes sur le commerce en ZUS</t>
  </si>
  <si>
    <t xml:space="preserve">Ouvert (PDF anciens)</t>
  </si>
  <si>
    <t xml:space="preserve">Non exploités (PDF illisibles)</t>
  </si>
  <si>
    <t xml:space="preserve">Lire les PDF</t>
  </si>
  <si>
    <t xml:space="preserve">Calculs propres sur le répertoire Sirene (non publiés)</t>
  </si>
  <si>
    <t xml:space="preserve">Ne pas mélanger avec l'état de l'art. Méthode et limites : analyse_commerce_territoires/rapport.html (dépôt du projet).</t>
  </si>
  <si>
    <t xml:space="preserve">Année(s)</t>
  </si>
  <si>
    <t xml:space="preserve">Champ</t>
  </si>
  <si>
    <t xml:space="preserve">Source des données</t>
  </si>
  <si>
    <t xml:space="preserve">Commerces employeurs en zones périphériques (Cerema EmpCom)</t>
  </si>
  <si>
    <t xml:space="preserve">2012</t>
  </si>
  <si>
    <t xml:space="preserve">1 372 sites, tampon de 50 m ; NAF 47.1 à 47.7 ; employeurs</t>
  </si>
  <si>
    <t xml:space="preserve">Insee, Sirene (sept. 2026) ; Cerema, EmpCom ; ANCT, QPV 2024. Calculs propres.</t>
  </si>
  <si>
    <t xml:space="preserve">Commerces employeurs en zones périphériques</t>
  </si>
  <si>
    <t xml:space="preserve">Idem</t>
  </si>
  <si>
    <t xml:space="preserve">Évolution des commerces employeurs en zones périphériques</t>
  </si>
  <si>
    <t xml:space="preserve">2012-2025</t>
  </si>
  <si>
    <t xml:space="preserve">Commerces employeurs dans les centres-villes</t>
  </si>
  <si>
    <t xml:space="preserve">Cercle de 300 à 700 m autour de la mairie, 2 128 communes de 5 000 hab. et plus (hors Paris, Lyon, Marseille)</t>
  </si>
  <si>
    <t xml:space="preserve">Évolution des commerces employeurs dans les centres-villes</t>
  </si>
  <si>
    <t xml:space="preserve">Commerces employeurs dans les QPV</t>
  </si>
  <si>
    <t xml:space="preserve">1 362 QPV 2024 (code QPV de la géolocalisation Sirene)</t>
  </si>
  <si>
    <t xml:space="preserve">Évolution des commerces employeurs dans les QPV</t>
  </si>
  <si>
    <t xml:space="preserve">Évolution de tous les établissements (employeurs ou non) en zones périphériques</t>
  </si>
  <si>
    <t xml:space="preserve">Idem, tous établissements actifs</t>
  </si>
  <si>
    <t xml:space="preserve">Évolution de tous les établissements dans les centres-villes</t>
  </si>
  <si>
    <t xml:space="preserve">Évolution de tous les établissements dans les QPV</t>
  </si>
  <si>
    <t xml:space="preserve">Croissance annuelle des commerces employeurs en périphérie</t>
  </si>
  <si>
    <t xml:space="preserve">2012-2016</t>
  </si>
  <si>
    <t xml:space="preserve">2022-2025</t>
  </si>
  <si>
    <t xml:space="preserve">Croissance annuelle des commerces employeurs dans les centres-villes</t>
  </si>
  <si>
    <t xml:space="preserve">Écart d'évolution entre les QPV et le reste de leur commune</t>
  </si>
  <si>
    <t xml:space="preserve">points</t>
  </si>
  <si>
    <t xml:space="preserve">510 QPV comptant au moins 5 commerces employeurs en 2012 ; QPV −8,2 %, reste de la commune +8,3 %</t>
  </si>
  <si>
    <t xml:space="preserve">Habillement, commerces employeurs dans les centres-villes</t>
  </si>
  <si>
    <t xml:space="preserve">NAF 47.71</t>
  </si>
  <si>
    <t xml:space="preserve">Chaussures et maroquinerie, commerces employeurs dans les QPV</t>
  </si>
  <si>
    <t xml:space="preserve">NAF 47.72</t>
  </si>
  <si>
    <t xml:space="preserve">Habillement et chaussures, commerces employeurs en périphérie</t>
  </si>
  <si>
    <t xml:space="preserve">2019-2025</t>
  </si>
  <si>
    <t xml:space="preserve">NAF 47.71-47.72 ; pic en 2019</t>
  </si>
  <si>
    <t xml:space="preserve">Part des centres-villes à moins de 10 km d'une grande zone commerciale</t>
  </si>
  <si>
    <t xml:space="preserve">Distance au contour EmpCom le plus proche ; médiane 2,5 km</t>
  </si>
  <si>
    <t xml:space="preserve">Effet estimé de l'ouverture nette d'une grande surface à moins de 10 km sur les commerces du centre</t>
  </si>
  <si>
    <t xml:space="preserve">point par période</t>
  </si>
  <si>
    <t xml:space="preserve">Panel à effets fixes ; IC 95 % [−0,67 ; +1,20] : pas d'effet significatif</t>
  </si>
  <si>
    <t xml:space="preserve">Effet de la surface commerciale périphérique à moins de 10 km (modèle en coupe)</t>
  </si>
  <si>
    <t xml:space="preserve">point par log-hectare</t>
  </si>
  <si>
    <t xml:space="preserve">IC 95 % [−1,0 ; +0,9] : pas d'effet significatif</t>
  </si>
  <si>
    <t xml:space="preserve">Synthèse</t>
  </si>
  <si>
    <t xml:space="preserve">Nombre de chiffres par thème et par niveau de vérification (calculé à partir de l'onglet « Chiffres »).</t>
  </si>
  <si>
    <t xml:space="preserve">A - Relu</t>
  </si>
  <si>
    <t xml:space="preserve">B - Consulté</t>
  </si>
  <si>
    <t xml:space="preserve">C - Relais</t>
  </si>
  <si>
    <t xml:space="preserve">D - À vérifier</t>
  </si>
  <si>
    <t xml:space="preserve">E - Présentation</t>
  </si>
  <si>
    <t xml:space="preserve">Total</t>
  </si>
  <si>
    <t xml:space="preserve">Légende complète des niveaux : onglet « Lisez-moi ».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</si>
</sst>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##"/>
    <numFmt numFmtId="168" formatCode="General"/>
    <numFmt numFmtId="169" formatCode="0.0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087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0308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3087"/>
        <bgColor rgb="FF33339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BF4FB"/>
      </patternFill>
    </fill>
    <fill>
      <patternFill patternType="solid">
        <fgColor rgb="FFEBF4F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6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0308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BF4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08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cerema.fr/fr/actualites/accompagner-mutation-zones-commerciales-peripherie" TargetMode="External"/><Relationship Id="rId2" Type="http://schemas.openxmlformats.org/officeDocument/2006/relationships/hyperlink" Target="https://www.cerema.fr/fr/actualites/accompagner-mutation-zones-commerciales-peripherie" TargetMode="External"/><Relationship Id="rId3" Type="http://schemas.openxmlformats.org/officeDocument/2006/relationships/hyperlink" Target="https://www.cerema.fr/fr/actualites/donnees-geolocalisation-1500-zones-commerciales-peripherie" TargetMode="External"/><Relationship Id="rId4" Type="http://schemas.openxmlformats.org/officeDocument/2006/relationships/hyperlink" Target="https://www.cerema.fr/fr/actualites/accompagner-mutation-zones-commerciales-peripherie" TargetMode="External"/><Relationship Id="rId5" Type="http://schemas.openxmlformats.org/officeDocument/2006/relationships/hyperlink" Target="https://www.cerema.fr/fr/actualites/accompagner-mutation-zones-commerciales-peripherie" TargetMode="External"/><Relationship Id="rId6" Type="http://schemas.openxmlformats.org/officeDocument/2006/relationships/hyperlink" Target="https://www.insee.fr/fr/statistiques/5386414" TargetMode="External"/><Relationship Id="rId7" Type="http://schemas.openxmlformats.org/officeDocument/2006/relationships/hyperlink" Target="https://www.insee.fr/fr/statistiques/5386414" TargetMode="External"/><Relationship Id="rId8" Type="http://schemas.openxmlformats.org/officeDocument/2006/relationships/hyperlink" Target="https://www.insee.fr/fr/statistiques/5386414" TargetMode="External"/><Relationship Id="rId9" Type="http://schemas.openxmlformats.org/officeDocument/2006/relationships/hyperlink" Target="https://www.insee.fr/fr/statistiques/8730497" TargetMode="External"/><Relationship Id="rId10" Type="http://schemas.openxmlformats.org/officeDocument/2006/relationships/hyperlink" Target="https://www.insee.fr/fr/statistiques/8730497" TargetMode="External"/><Relationship Id="rId11" Type="http://schemas.openxmlformats.org/officeDocument/2006/relationships/hyperlink" Target="https://www.insee.fr/fr/statistiques/8730497" TargetMode="External"/><Relationship Id="rId12" Type="http://schemas.openxmlformats.org/officeDocument/2006/relationships/hyperlink" Target="https://www.info.gouv.fr/upload/media/content/0001/07/2dc90efc2c1a0e97572bf027240fac63e4dc9d75.pdf" TargetMode="External"/><Relationship Id="rId13" Type="http://schemas.openxmlformats.org/officeDocument/2006/relationships/hyperlink" Target="https://www.info.gouv.fr/upload/media/content/0001/07/2dc90efc2c1a0e97572bf027240fac63e4dc9d75.pdf" TargetMode="External"/><Relationship Id="rId14" Type="http://schemas.openxmlformats.org/officeDocument/2006/relationships/hyperlink" Target="https://www.procos.org/images/procos/presse/2025/Conf_0225/procos_dp_120225_site.pdf" TargetMode="External"/><Relationship Id="rId15" Type="http://schemas.openxmlformats.org/officeDocument/2006/relationships/hyperlink" Target="https://www.cerema.fr/fr/actualites/zones-commerciales-centres-villes-trouver-bon-equilibre" TargetMode="External"/><Relationship Id="rId16" Type="http://schemas.openxmlformats.org/officeDocument/2006/relationships/hyperlink" Target="https://www.senat.fr/rap/r21-910/r21-9109.html" TargetMode="External"/><Relationship Id="rId17" Type="http://schemas.openxmlformats.org/officeDocument/2006/relationships/hyperlink" Target="https://www.lsa-conso.fr/la-peripherie-urbaine-aimante-le-commerce,323561" TargetMode="External"/><Relationship Id="rId18" Type="http://schemas.openxmlformats.org/officeDocument/2006/relationships/hyperlink" Target="https://www.insee.fr/fr/statistiques/5386414" TargetMode="External"/><Relationship Id="rId19" Type="http://schemas.openxmlformats.org/officeDocument/2006/relationships/hyperlink" Target="https://www.insee.fr/fr/statistiques/5386414" TargetMode="External"/><Relationship Id="rId20" Type="http://schemas.openxmlformats.org/officeDocument/2006/relationships/hyperlink" Target="https://www.insee.fr/fr/statistiques/5386414" TargetMode="External"/><Relationship Id="rId21" Type="http://schemas.openxmlformats.org/officeDocument/2006/relationships/hyperlink" Target="https://www.insee.fr/fr/statistiques/5386414" TargetMode="External"/><Relationship Id="rId22" Type="http://schemas.openxmlformats.org/officeDocument/2006/relationships/hyperlink" Target="https://www.insee.fr/fr/statistiques/5386414" TargetMode="External"/><Relationship Id="rId23" Type="http://schemas.openxmlformats.org/officeDocument/2006/relationships/hyperlink" Target="https://www.insee.fr/fr/statistiques/5386414" TargetMode="External"/><Relationship Id="rId24" Type="http://schemas.openxmlformats.org/officeDocument/2006/relationships/hyperlink" Target="https://www.insee.fr/fr/statistiques/5386414" TargetMode="External"/><Relationship Id="rId25" Type="http://schemas.openxmlformats.org/officeDocument/2006/relationships/hyperlink" Target="https://www.insee.fr/fr/statistiques/4248184" TargetMode="External"/><Relationship Id="rId26" Type="http://schemas.openxmlformats.org/officeDocument/2006/relationships/hyperlink" Target="https://www.insee.fr/fr/statistiques/4248184" TargetMode="External"/><Relationship Id="rId27" Type="http://schemas.openxmlformats.org/officeDocument/2006/relationships/hyperlink" Target="https://www.insee.fr/fr/statistiques/4248184" TargetMode="External"/><Relationship Id="rId28" Type="http://schemas.openxmlformats.org/officeDocument/2006/relationships/hyperlink" Target="https://www.insee.fr/fr/statistiques/4248184" TargetMode="External"/><Relationship Id="rId29" Type="http://schemas.openxmlformats.org/officeDocument/2006/relationships/hyperlink" Target="https://www.insee.fr/fr/statistiques/8730497" TargetMode="External"/><Relationship Id="rId30" Type="http://schemas.openxmlformats.org/officeDocument/2006/relationships/hyperlink" Target="https://www.insee.fr/fr/statistiques/8730497" TargetMode="External"/><Relationship Id="rId31" Type="http://schemas.openxmlformats.org/officeDocument/2006/relationships/hyperlink" Target="https://www.insee.fr/fr/statistiques/8730497" TargetMode="External"/><Relationship Id="rId32" Type="http://schemas.openxmlformats.org/officeDocument/2006/relationships/hyperlink" Target="https://www.insee.fr/fr/statistiques/8730497" TargetMode="External"/><Relationship Id="rId33" Type="http://schemas.openxmlformats.org/officeDocument/2006/relationships/hyperlink" Target="https://www.insee.fr/fr/statistiques/8730497" TargetMode="External"/><Relationship Id="rId34" Type="http://schemas.openxmlformats.org/officeDocument/2006/relationships/hyperlink" Target="https://www.ccomptes.fr/sites/default/files/2023-10/20230929-politiques-publiques-commerce-proximite.pdf" TargetMode="External"/><Relationship Id="rId35" Type="http://schemas.openxmlformats.org/officeDocument/2006/relationships/hyperlink" Target="https://www.cae-eco.fr/" TargetMode="External"/><Relationship Id="rId36" Type="http://schemas.openxmlformats.org/officeDocument/2006/relationships/hyperlink" Target="https://www.publicsenat.fr/actualites/territoires/revitalisation-des-centres-villes-un-rapport-du-senat-pointe-un-sous" TargetMode="External"/><Relationship Id="rId37" Type="http://schemas.openxmlformats.org/officeDocument/2006/relationships/hyperlink" Target="https://www.publicsenat.fr/actualites/territoires/revitalisation-des-centres-villes-un-rapport-du-senat-pointe-un-sous" TargetMode="External"/><Relationship Id="rId38" Type="http://schemas.openxmlformats.org/officeDocument/2006/relationships/hyperlink" Target="https://www.cerema.fr/fr/actualites/zones-commerciales-centres-villes-trouver-bon-equilibre" TargetMode="External"/><Relationship Id="rId39" Type="http://schemas.openxmlformats.org/officeDocument/2006/relationships/hyperlink" Target="https://www.banquedesterritoires.fr/vacance-commerciale-les-remedes-de-linstitut-pour-la-ville-et-le-commerce" TargetMode="External"/><Relationship Id="rId40" Type="http://schemas.openxmlformats.org/officeDocument/2006/relationships/hyperlink" Target="https://www.senat.fr/rap/r21-910/r21-9109.html" TargetMode="External"/><Relationship Id="rId41" Type="http://schemas.openxmlformats.org/officeDocument/2006/relationships/hyperlink" Target="https://www.procos.org/images/procos/presse/2025/Conf_0225/procos_dp_120225_site.pdf" TargetMode="External"/><Relationship Id="rId42" Type="http://schemas.openxmlformats.org/officeDocument/2006/relationships/hyperlink" Target="https://www.procos.org/images/procos/presse/2025/Conf_0225/procos_dp_120225_site.pdf" TargetMode="External"/><Relationship Id="rId43" Type="http://schemas.openxmlformats.org/officeDocument/2006/relationships/hyperlink" Target="https://lechommerces.fr/la-vacance-commerciale-progresse-de-nouveau-en-france/" TargetMode="External"/><Relationship Id="rId44" Type="http://schemas.openxmlformats.org/officeDocument/2006/relationships/hyperlink" Target="https://www.info.gouv.fr/upload/media/content/0001/07/2dc90efc2c1a0e97572bf027240fac63e4dc9d75.pdf" TargetMode="External"/><Relationship Id="rId45" Type="http://schemas.openxmlformats.org/officeDocument/2006/relationships/hyperlink" Target="https://www.banquedesterritoires.fr/sites/default/files/2025-11/Rapport-mission-commerce-de-proximite-centres-villes-QPVf.pdf" TargetMode="External"/><Relationship Id="rId46" Type="http://schemas.openxmlformats.org/officeDocument/2006/relationships/hyperlink" Target="https://www.entreprises.gouv.fr/la-dge/actualites/mission-sur-lavenir-du-commerce-de-proximite-neuf-mesures-retenues-pour" TargetMode="External"/><Relationship Id="rId47" Type="http://schemas.openxmlformats.org/officeDocument/2006/relationships/hyperlink" Target="https://pointsdevente.fr/fil-info/2024-05-23-la-hausse-de-la-vacance-commerciale-reprend-dans-les-centres-villes/" TargetMode="External"/><Relationship Id="rId48" Type="http://schemas.openxmlformats.org/officeDocument/2006/relationships/hyperlink" Target="https://pointsdevente.fr/fil-info/2024-05-23-la-hausse-de-la-vacance-commerciale-reprend-dans-les-centres-villes/" TargetMode="External"/><Relationship Id="rId49" Type="http://schemas.openxmlformats.org/officeDocument/2006/relationships/hyperlink" Target="https://www.codata.eu/blog/quel-bilan-tirer-du-plan-acv-sur-la-vacance-commerciale-des-centres-villes-de-villes-moyennes/" TargetMode="External"/><Relationship Id="rId50" Type="http://schemas.openxmlformats.org/officeDocument/2006/relationships/hyperlink" Target="https://www.codata.eu/blog/quel-bilan-tirer-du-plan-acv-sur-la-vacance-commerciale-des-centres-villes-de-villes-moyennes/" TargetMode="External"/><Relationship Id="rId51" Type="http://schemas.openxmlformats.org/officeDocument/2006/relationships/hyperlink" Target="https://www.codata.eu/blog/quel-bilan-tirer-du-plan-acv-sur-la-vacance-commerciale-des-centres-villes-de-villes-moyennes/" TargetMode="External"/><Relationship Id="rId52" Type="http://schemas.openxmlformats.org/officeDocument/2006/relationships/hyperlink" Target="https://www.codata.eu/blog/quel-bilan-tirer-du-plan-acv-sur-la-vacance-commerciale-des-centres-villes-de-villes-moyennes/" TargetMode="External"/><Relationship Id="rId53" Type="http://schemas.openxmlformats.org/officeDocument/2006/relationships/hyperlink" Target="https://www.banquedesterritoires.fr/la-progression-de-la-vacance-commerciale-ralentit-surtout-dans-les-villes-moyennes" TargetMode="External"/><Relationship Id="rId54" Type="http://schemas.openxmlformats.org/officeDocument/2006/relationships/hyperlink" Target="https://www.banquedesterritoires.fr/la-progression-de-la-vacance-commerciale-ralentit-surtout-dans-les-villes-moyennes" TargetMode="External"/><Relationship Id="rId55" Type="http://schemas.openxmlformats.org/officeDocument/2006/relationships/hyperlink" Target="https://www.banquedesterritoires.fr/la-progression-de-la-vacance-commerciale-ralentit-surtout-dans-les-villes-moyennes" TargetMode="External"/><Relationship Id="rId56" Type="http://schemas.openxmlformats.org/officeDocument/2006/relationships/hyperlink" Target="https://www.banquedesterritoires.fr/la-progression-de-la-vacance-commerciale-ralentit-surtout-dans-les-villes-moyennes" TargetMode="External"/><Relationship Id="rId57" Type="http://schemas.openxmlformats.org/officeDocument/2006/relationships/hyperlink" Target="https://www.procos.org/images/procos/presse/2025/Conf_0225/procos_dp_120225_site.pdf" TargetMode="External"/><Relationship Id="rId58" Type="http://schemas.openxmlformats.org/officeDocument/2006/relationships/hyperlink" Target="https://www.ccomptes.fr/sites/default/files/2023-10/20230929-politiques-publiques-commerce-proximite.pdf" TargetMode="External"/><Relationship Id="rId59" Type="http://schemas.openxmlformats.org/officeDocument/2006/relationships/hyperlink" Target="https://www.ccomptes.fr/sites/default/files/2023-10/20230929-politiques-publiques-commerce-proximite.pdf" TargetMode="External"/><Relationship Id="rId60" Type="http://schemas.openxmlformats.org/officeDocument/2006/relationships/hyperlink" Target="https://www.ccomptes.fr/fr/publications/le-rapport-public-annuel-2026" TargetMode="External"/><Relationship Id="rId61" Type="http://schemas.openxmlformats.org/officeDocument/2006/relationships/hyperlink" Target="https://www.procos.org/images/procos/presse/2025/Conf_0225/procos_dp_120225_site.pdf" TargetMode="External"/><Relationship Id="rId62" Type="http://schemas.openxmlformats.org/officeDocument/2006/relationships/hyperlink" Target="https://www.procos.org/images/procos/presse/2025/Conf_0225/procos_dp_120225_site.pdf" TargetMode="External"/><Relationship Id="rId63" Type="http://schemas.openxmlformats.org/officeDocument/2006/relationships/hyperlink" Target="https://www.procos.org/images/procos/presse/2025/Conf_0225/procos_dp_120225_site.pdf" TargetMode="External"/><Relationship Id="rId64" Type="http://schemas.openxmlformats.org/officeDocument/2006/relationships/hyperlink" Target="https://www.ccomptes.fr/sites/default/files/2023-10/20230929-politiques-publiques-commerce-proximite.pdf" TargetMode="External"/><Relationship Id="rId65" Type="http://schemas.openxmlformats.org/officeDocument/2006/relationships/hyperlink" Target="https://www.ccomptes.fr/sites/default/files/2023-10/20230929-politiques-publiques-commerce-proximite.pdf" TargetMode="External"/><Relationship Id="rId66" Type="http://schemas.openxmlformats.org/officeDocument/2006/relationships/hyperlink" Target="https://www.ccomptes.fr/sites/default/files/2023-10/20230929-politiques-publiques-commerce-proximite.pdf" TargetMode="External"/><Relationship Id="rId67" Type="http://schemas.openxmlformats.org/officeDocument/2006/relationships/hyperlink" Target="https://www.senat.fr/rap/r21-910/r21-9109.html" TargetMode="External"/><Relationship Id="rId68" Type="http://schemas.openxmlformats.org/officeDocument/2006/relationships/hyperlink" Target="https://lechommerces.fr/la-vacance-commerciale-progresse-de-nouveau-en-france/" TargetMode="External"/><Relationship Id="rId69" Type="http://schemas.openxmlformats.org/officeDocument/2006/relationships/hyperlink" Target="https://www.icade.fr/content/download/7372/file/barom&#232;tre-entr&#233;es-de-ville-2e-edition-cap-sur-projets.pdf" TargetMode="External"/><Relationship Id="rId70" Type="http://schemas.openxmlformats.org/officeDocument/2006/relationships/hyperlink" Target="https://www.cae-eco.fr/" TargetMode="External"/><Relationship Id="rId71" Type="http://schemas.openxmlformats.org/officeDocument/2006/relationships/hyperlink" Target="https://anct.gouv.fr/quartiers-prioritaires" TargetMode="External"/><Relationship Id="rId72" Type="http://schemas.openxmlformats.org/officeDocument/2006/relationships/hyperlink" Target="https://anct.gouv.fr/quartiers-prioritaires" TargetMode="External"/><Relationship Id="rId73" Type="http://schemas.openxmlformats.org/officeDocument/2006/relationships/hyperlink" Target="https://www.inegalites.fr/Chomage-QPV" TargetMode="External"/><Relationship Id="rId74" Type="http://schemas.openxmlformats.org/officeDocument/2006/relationships/hyperlink" Target="https://www.inegalites.fr/Les-revenus-et-la-pauvrete-dans-les-quartiers-les-plus-en-difficulte" TargetMode="External"/><Relationship Id="rId75" Type="http://schemas.openxmlformats.org/officeDocument/2006/relationships/hyperlink" Target="https://www.inegalites.fr/Les-revenus-et-la-pauvrete-dans-les-quartiers-les-plus-en-difficulte" TargetMode="External"/><Relationship Id="rId76" Type="http://schemas.openxmlformats.org/officeDocument/2006/relationships/hyperlink" Target="https://www.onpv.fr/uploads/media_items/onpv-dossier-entreprises-2023.original.pdf" TargetMode="External"/><Relationship Id="rId77" Type="http://schemas.openxmlformats.org/officeDocument/2006/relationships/hyperlink" Target="https://www.onpv.fr/uploads/media_items/onpv-dossier-entreprises-2023.original.pdf" TargetMode="External"/><Relationship Id="rId78" Type="http://schemas.openxmlformats.org/officeDocument/2006/relationships/hyperlink" Target="https://www.onpv.fr/uploads/media_items/onpv-dossier-entreprises-2023.original.pdf" TargetMode="External"/><Relationship Id="rId79" Type="http://schemas.openxmlformats.org/officeDocument/2006/relationships/hyperlink" Target="https://www.anru.fr/la-docutheque/le-commerce-dans-les-quartiers-prioritaires-en-renouvellement-urbain" TargetMode="External"/><Relationship Id="rId80" Type="http://schemas.openxmlformats.org/officeDocument/2006/relationships/hyperlink" Target="https://www.lsa-conso.fr/l-epareca-aide-les-quartiers-sensibles,34533" TargetMode="External"/><Relationship Id="rId81" Type="http://schemas.openxmlformats.org/officeDocument/2006/relationships/hyperlink" Target="https://media.anct.gouv.fr/s3fs-public/2024-10/DP_ANCT_LE%20MANS_2024_v4%20(7).pdf" TargetMode="External"/><Relationship Id="rId82" Type="http://schemas.openxmlformats.org/officeDocument/2006/relationships/hyperlink" Target="https://www.entreprises.gouv.fr/files/files/Publications/2025/rapports-activite/ra-cnac-2024.pdf" TargetMode="External"/><Relationship Id="rId83" Type="http://schemas.openxmlformats.org/officeDocument/2006/relationships/hyperlink" Target="https://www.entreprises.gouv.fr/files/files/Publications/2025/rapports-activite/ra-cnac-2024.pdf" TargetMode="External"/><Relationship Id="rId84" Type="http://schemas.openxmlformats.org/officeDocument/2006/relationships/hyperlink" Target="https://www.entreprises.gouv.fr/files/files/Publications/2025/rapports-activite/ra-cnac-2024.pdf" TargetMode="External"/><Relationship Id="rId85" Type="http://schemas.openxmlformats.org/officeDocument/2006/relationships/hyperlink" Target="https://www.entreprises.gouv.fr/files/files/Publications/2025/rapports-activite/ra-cnac-2024.pdf" TargetMode="External"/><Relationship Id="rId86" Type="http://schemas.openxmlformats.org/officeDocument/2006/relationships/hyperlink" Target="https://www.entreprises.gouv.fr/files/files/Publications/2025/rapports-activite/ra-cnac-2024.pdf" TargetMode="External"/><Relationship Id="rId87" Type="http://schemas.openxmlformats.org/officeDocument/2006/relationships/hyperlink" Target="https://www.entreprises.gouv.fr/files/files/Publications/2025/rapports-activite/ra-cnac-2024.pdf" TargetMode="External"/><Relationship Id="rId88" Type="http://schemas.openxmlformats.org/officeDocument/2006/relationships/hyperlink" Target="https://www.entreprises.gouv.fr/files/files/Publications/2025/rapports-activite/ra-cnac-2024.pdf" TargetMode="External"/><Relationship Id="rId89" Type="http://schemas.openxmlformats.org/officeDocument/2006/relationships/hyperlink" Target="https://www.entreprises.gouv.fr/files/files/Publications/2025/rapports-activite/ra-cnac-2024.pdf" TargetMode="External"/><Relationship Id="rId90" Type="http://schemas.openxmlformats.org/officeDocument/2006/relationships/hyperlink" Target="https://www.entreprises.gouv.fr/files/files/Publications/2025/rapports-activite/ra-cnac-2024.pdf" TargetMode="External"/><Relationship Id="rId91" Type="http://schemas.openxmlformats.org/officeDocument/2006/relationships/hyperlink" Target="https://www.entreprises.gouv.fr/files/files/Publications/2025/rapports-activite/ra-cnac-2024.pdf" TargetMode="External"/><Relationship Id="rId92" Type="http://schemas.openxmlformats.org/officeDocument/2006/relationships/hyperlink" Target="https://www.procos.org/images/procos/presse/2025/Conf_0225/procos_dp_120225_site.pdf" TargetMode="External"/><Relationship Id="rId93" Type="http://schemas.openxmlformats.org/officeDocument/2006/relationships/hyperlink" Target="https://www.procos.org/images/procos/presse/2025/Conf_0225/procos_dp_120225_site.pdf" TargetMode="External"/><Relationship Id="rId94" Type="http://schemas.openxmlformats.org/officeDocument/2006/relationships/hyperlink" Target="https://www.procos.org/images/procos/presse/2025/Conf_0225/procos_dp_120225_site.pdf" TargetMode="External"/><Relationship Id="rId95" Type="http://schemas.openxmlformats.org/officeDocument/2006/relationships/hyperlink" Target="https://www.procos.org/images/procos/presse/2025/Conf_0225/procos_dp_120225_site.pdf" TargetMode="External"/><Relationship Id="rId96" Type="http://schemas.openxmlformats.org/officeDocument/2006/relationships/hyperlink" Target="https://www.procos.org/images/procos/presse/2025/Conf_0225/procos_dp_120225_site.pdf" TargetMode="External"/><Relationship Id="rId97" Type="http://schemas.openxmlformats.org/officeDocument/2006/relationships/hyperlink" Target="https://www.banquedesterritoires.fr/2023-annee-de-transition-de-lamenagement-commercial" TargetMode="External"/><Relationship Id="rId98" Type="http://schemas.openxmlformats.org/officeDocument/2006/relationships/hyperlink" Target="https://www.banquedesterritoires.fr/2023-annee-de-transition-de-lamenagement-commercial" TargetMode="External"/><Relationship Id="rId99" Type="http://schemas.openxmlformats.org/officeDocument/2006/relationships/hyperlink" Target="https://www.banquedesterritoires.fr/2023-annee-de-transition-de-lamenagement-commercial" TargetMode="External"/><Relationship Id="rId100" Type="http://schemas.openxmlformats.org/officeDocument/2006/relationships/hyperlink" Target="https://www.legifrance.gouv.fr/" TargetMode="External"/><Relationship Id="rId101" Type="http://schemas.openxmlformats.org/officeDocument/2006/relationships/hyperlink" Target="https://www.legifrance.gouv.fr/" TargetMode="External"/><Relationship Id="rId102" Type="http://schemas.openxmlformats.org/officeDocument/2006/relationships/hyperlink" Target="https://www.legifrance.gouv.fr/" TargetMode="External"/><Relationship Id="rId103" Type="http://schemas.openxmlformats.org/officeDocument/2006/relationships/hyperlink" Target="https://www.legifrance.gouv.fr/" TargetMode="External"/><Relationship Id="rId104" Type="http://schemas.openxmlformats.org/officeDocument/2006/relationships/hyperlink" Target="https://www.legifrance.gouv.fr/" TargetMode="External"/><Relationship Id="rId105" Type="http://schemas.openxmlformats.org/officeDocument/2006/relationships/hyperlink" Target="https://www.entreprises.gouv.fr/files/files/Publications/2025/rapports-activite/ra-cnac-2024.pdf" TargetMode="External"/><Relationship Id="rId106" Type="http://schemas.openxmlformats.org/officeDocument/2006/relationships/hyperlink" Target="https://artificialisation.developpement-durable.gouv.fr/actualites/parution-des-donnees-consommation-despaces-naturels-agricoles-et-forestiers-2011-2025" TargetMode="External"/><Relationship Id="rId107" Type="http://schemas.openxmlformats.org/officeDocument/2006/relationships/hyperlink" Target="https://www.entreprises.gouv.fr/files/files/Publications/2025/rapports-activite/ra-cnac-2024.pdf" TargetMode="External"/><Relationship Id="rId108" Type="http://schemas.openxmlformats.org/officeDocument/2006/relationships/hyperlink" Target="https://www.cerema.fr/fr/actualites/artificialisation-sols-quelle-dynamique" TargetMode="External"/><Relationship Id="rId109" Type="http://schemas.openxmlformats.org/officeDocument/2006/relationships/hyperlink" Target="https://www.cerema.fr/fr/actualites/artificialisation-sols-quelle-dynamique" TargetMode="External"/><Relationship Id="rId110" Type="http://schemas.openxmlformats.org/officeDocument/2006/relationships/hyperlink" Target="https://www.cerema.fr/fr/actualites/potentiel-reindustrialisation-friches" TargetMode="External"/><Relationship Id="rId111" Type="http://schemas.openxmlformats.org/officeDocument/2006/relationships/hyperlink" Target="https://www.cerema.fr/fr/actualites/zones-commerciales-centres-villes-trouver-bon-equilibre" TargetMode="External"/><Relationship Id="rId112" Type="http://schemas.openxmlformats.org/officeDocument/2006/relationships/hyperlink" Target="https://www.cerema.fr/fr/actualites/zones-commerciales-centres-villes-trouver-bon-equilibre" TargetMode="External"/><Relationship Id="rId113" Type="http://schemas.openxmlformats.org/officeDocument/2006/relationships/hyperlink" Target="https://www.info.gouv.fr/upload/media/content/0001/07/2dc90efc2c1a0e97572bf027240fac63e4dc9d75.pdf" TargetMode="External"/><Relationship Id="rId114" Type="http://schemas.openxmlformats.org/officeDocument/2006/relationships/hyperlink" Target="https://www.procos.org/images/procos/presse/2025/Conf_0225/procos_dp_120225_site.pdf" TargetMode="External"/><Relationship Id="rId115" Type="http://schemas.openxmlformats.org/officeDocument/2006/relationships/hyperlink" Target="https://www.procos.org/images/procos/presse/2025/Conf_0225/procos_dp_120225_site.pdf" TargetMode="External"/><Relationship Id="rId116" Type="http://schemas.openxmlformats.org/officeDocument/2006/relationships/hyperlink" Target="https://www.procos.org/images/procos/presse/2025/Conf_0225/procos_dp_120225_site.pdf" TargetMode="External"/><Relationship Id="rId117" Type="http://schemas.openxmlformats.org/officeDocument/2006/relationships/hyperlink" Target="https://lechommerces.fr/la-vacance-commerciale-progresse-de-nouveau-en-france/" TargetMode="External"/><Relationship Id="rId118" Type="http://schemas.openxmlformats.org/officeDocument/2006/relationships/hyperlink" Target="https://www.icade.fr/content/download/7372/file/barom&#232;tre-entr&#233;es-de-ville-2e-edition-cap-sur-projets.pdf" TargetMode="External"/><Relationship Id="rId119" Type="http://schemas.openxmlformats.org/officeDocument/2006/relationships/hyperlink" Target="https://www.icade.fr/content/download/7372/file/barom&#232;tre-entr&#233;es-de-ville-2e-edition-cap-sur-projets.pdf" TargetMode="External"/><Relationship Id="rId120" Type="http://schemas.openxmlformats.org/officeDocument/2006/relationships/hyperlink" Target="https://www.icade.fr/content/download/7372/file/barom&#232;tre-entr&#233;es-de-ville-2e-edition-cap-sur-projets.pdf" TargetMode="External"/><Relationship Id="rId121" Type="http://schemas.openxmlformats.org/officeDocument/2006/relationships/hyperlink" Target="https://www.icade.fr/content/download/7372/file/barom&#232;tre-entr&#233;es-de-ville-2e-edition-cap-sur-projets.pdf" TargetMode="External"/><Relationship Id="rId122" Type="http://schemas.openxmlformats.org/officeDocument/2006/relationships/hyperlink" Target="https://www.icade.fr/content/download/7372/file/barom&#232;tre-entr&#233;es-de-ville-2e-edition-cap-sur-projets.pdf" TargetMode="External"/><Relationship Id="rId123" Type="http://schemas.openxmlformats.org/officeDocument/2006/relationships/hyperlink" Target="https://www.icade.fr/content/download/7372/file/barom&#232;tre-entr&#233;es-de-ville-2e-edition-cap-sur-projets.pdf" TargetMode="External"/><Relationship Id="rId124" Type="http://schemas.openxmlformats.org/officeDocument/2006/relationships/hyperlink" Target="https://www.icade.fr/content/download/7372/file/barom&#232;tre-entr&#233;es-de-ville-2e-edition-cap-sur-projets.pdf" TargetMode="External"/><Relationship Id="rId125" Type="http://schemas.openxmlformats.org/officeDocument/2006/relationships/hyperlink" Target="https://www.icade.fr/content/download/7372/file/barom&#232;tre-entr&#233;es-de-ville-2e-edition-cap-sur-projets.pdf" TargetMode="External"/><Relationship Id="rId126" Type="http://schemas.openxmlformats.org/officeDocument/2006/relationships/hyperlink" Target="https://www.icade.fr/content/download/7372/file/barom&#232;tre-entr&#233;es-de-ville-2e-edition-cap-sur-projets.pdf" TargetMode="External"/><Relationship Id="rId127" Type="http://schemas.openxmlformats.org/officeDocument/2006/relationships/hyperlink" Target="https://www.icade.fr/content/download/7372/file/barom&#232;tre-entr&#233;es-de-ville-2e-edition-cap-sur-projets.pdf" TargetMode="External"/><Relationship Id="rId128" Type="http://schemas.openxmlformats.org/officeDocument/2006/relationships/hyperlink" Target="https://www.icade.fr/content/download/7372/file/barom&#232;tre-entr&#233;es-de-ville-2e-edition-cap-sur-projets.pdf" TargetMode="External"/><Relationship Id="rId129" Type="http://schemas.openxmlformats.org/officeDocument/2006/relationships/hyperlink" Target="https://anct.gouv.fr/programmes-dispositifs/action-coeur-de-ville" TargetMode="External"/><Relationship Id="rId130" Type="http://schemas.openxmlformats.org/officeDocument/2006/relationships/hyperlink" Target="https://anct.gouv.fr/programmes-dispositifs/action-coeur-de-ville" TargetMode="External"/><Relationship Id="rId131" Type="http://schemas.openxmlformats.org/officeDocument/2006/relationships/hyperlink" Target="https://anct.gouv.fr/programmes-dispositifs/action-coeur-de-ville" TargetMode="External"/><Relationship Id="rId132" Type="http://schemas.openxmlformats.org/officeDocument/2006/relationships/hyperlink" Target="https://www.banquedesterritoires.fr/programme-action-coeur-de-ville-2026" TargetMode="External"/><Relationship Id="rId133" Type="http://schemas.openxmlformats.org/officeDocument/2006/relationships/hyperlink" Target="https://anct.gouv.fr/programmes-dispositifs/action-coeur-de-ville" TargetMode="External"/><Relationship Id="rId134" Type="http://schemas.openxmlformats.org/officeDocument/2006/relationships/hyperlink" Target="https://www.aefinfo.fr/depeche/679781-action-coeur-de-ville-un-programme-ambitieux-mais-difficile-a-evaluer-selon-la-cour-des-comptes" TargetMode="External"/><Relationship Id="rId135" Type="http://schemas.openxmlformats.org/officeDocument/2006/relationships/hyperlink" Target="https://www.aefinfo.fr/depeche/679781-action-coeur-de-ville-un-programme-ambitieux-mais-difficile-a-evaluer-selon-la-cour-des-comptes" TargetMode="External"/><Relationship Id="rId136" Type="http://schemas.openxmlformats.org/officeDocument/2006/relationships/hyperlink" Target="https://www.senat.fr/rap/r21-910/r21-9109.html" TargetMode="External"/><Relationship Id="rId137" Type="http://schemas.openxmlformats.org/officeDocument/2006/relationships/hyperlink" Target="https://anct.gouv.fr/actualites/petites-villes-de-demain-3-ans-d-engagement-et-11-milliard-d-euros-investis" TargetMode="External"/><Relationship Id="rId138" Type="http://schemas.openxmlformats.org/officeDocument/2006/relationships/hyperlink" Target="https://anct.gouv.fr/actualites/petites-villes-de-demain-3-ans-d-engagement-et-11-milliard-d-euros-investis" TargetMode="External"/><Relationship Id="rId139" Type="http://schemas.openxmlformats.org/officeDocument/2006/relationships/hyperlink" Target="https://www.banquedesterritoires.fr/la-banque-des-territoires-deploie-un-milliard-deuros-pour-soutenir-le-commerce" TargetMode="External"/><Relationship Id="rId140" Type="http://schemas.openxmlformats.org/officeDocument/2006/relationships/hyperlink" Target="https://www.banquedesterritoires.fr/la-banque-des-territoires-deploie-un-milliard-deuros-pour-soutenir-le-commerce" TargetMode="External"/><Relationship Id="rId141" Type="http://schemas.openxmlformats.org/officeDocument/2006/relationships/hyperlink" Target="https://www.entreprises.gouv.fr/la-direction-generale-des-entreprises/actualites/annonce-74-laureats-plan-transformation-zones-commerciales" TargetMode="External"/><Relationship Id="rId142" Type="http://schemas.openxmlformats.org/officeDocument/2006/relationships/hyperlink" Target="https://www.ccomptes.fr/sites/default/files/2023-10/20230929-politiques-publiques-commerce-proximite.pdf" TargetMode="External"/><Relationship Id="rId143" Type="http://schemas.openxmlformats.org/officeDocument/2006/relationships/hyperlink" Target="https://www.ccomptes.fr/sites/default/files/2023-10/20230929-politiques-publiques-commerce-proximite.pdf" TargetMode="External"/><Relationship Id="rId144" Type="http://schemas.openxmlformats.org/officeDocument/2006/relationships/hyperlink" Target="https://www.ccomptes.fr/sites/default/files/2023-10/20230929-politiques-publiques-commerce-proximite.pdf" TargetMode="External"/><Relationship Id="rId145" Type="http://schemas.openxmlformats.org/officeDocument/2006/relationships/hyperlink" Target="https://www.ccomptes.fr/sites/default/files/2023-10/20230929-politiques-publiques-commerce-proximite.pdf" TargetMode="External"/><Relationship Id="rId146" Type="http://schemas.openxmlformats.org/officeDocument/2006/relationships/hyperlink" Target="https://www.entreprises.gouv.fr/la-dge/actualites/mission-sur-lavenir-du-commerce-de-proximite-neuf-mesures-retenues-pour" TargetMode="External"/><Relationship Id="rId147" Type="http://schemas.openxmlformats.org/officeDocument/2006/relationships/hyperlink" Target="https://www.senat.fr/rap/r21-910/r21-9109.html" TargetMode="External"/><Relationship Id="rId148" Type="http://schemas.openxmlformats.org/officeDocument/2006/relationships/hyperlink" Target="https://www.cae-eco.fr/" TargetMode="External"/><Relationship Id="rId149" Type="http://schemas.openxmlformats.org/officeDocument/2006/relationships/hyperlink" Target="https://www.cae-eco.fr/" TargetMode="External"/><Relationship Id="rId150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cerema.fr/fr/actualites/accompagner-mutation-zones-commerciales-peripherie" TargetMode="External"/><Relationship Id="rId2" Type="http://schemas.openxmlformats.org/officeDocument/2006/relationships/hyperlink" Target="https://www.cerema.fr/fr/actualites/donnees-geolocalisation-1500-zones-commerciales-peripherie" TargetMode="External"/><Relationship Id="rId3" Type="http://schemas.openxmlformats.org/officeDocument/2006/relationships/hyperlink" Target="https://www.cerema.fr/fr/actualites/zones-commerciales-centres-villes-trouver-bon-equilibre" TargetMode="External"/><Relationship Id="rId4" Type="http://schemas.openxmlformats.org/officeDocument/2006/relationships/hyperlink" Target="https://www.cerema.fr/fr/actualites/potentiel-reindustrialisation-friches" TargetMode="External"/><Relationship Id="rId5" Type="http://schemas.openxmlformats.org/officeDocument/2006/relationships/hyperlink" Target="https://www.insee.fr/fr/statistiques/5386414" TargetMode="External"/><Relationship Id="rId6" Type="http://schemas.openxmlformats.org/officeDocument/2006/relationships/hyperlink" Target="https://www.insee.fr/fr/statistiques/4248184" TargetMode="External"/><Relationship Id="rId7" Type="http://schemas.openxmlformats.org/officeDocument/2006/relationships/hyperlink" Target="https://www.insee.fr/fr/statistiques/8730497" TargetMode="External"/><Relationship Id="rId8" Type="http://schemas.openxmlformats.org/officeDocument/2006/relationships/hyperlink" Target="https://www.info.gouv.fr/upload/media/content/0001/07/2dc90efc2c1a0e97572bf027240fac63e4dc9d75.pdf" TargetMode="External"/><Relationship Id="rId9" Type="http://schemas.openxmlformats.org/officeDocument/2006/relationships/hyperlink" Target="https://www.procos.org/images/procos/presse/2025/Conf_0225/procos_dp_120225_site.pdf" TargetMode="External"/><Relationship Id="rId10" Type="http://schemas.openxmlformats.org/officeDocument/2006/relationships/hyperlink" Target="https://www.entreprises.gouv.fr/files/files/Publications/2025/rapports-activite/ra-cnac-2024.pdf" TargetMode="External"/><Relationship Id="rId11" Type="http://schemas.openxmlformats.org/officeDocument/2006/relationships/hyperlink" Target="https://www.icade.fr/content/download/7372/file/barom&#232;tre-entr&#233;es-de-ville-2e-edition-cap-sur-projets.pdf" TargetMode="External"/><Relationship Id="rId12" Type="http://schemas.openxmlformats.org/officeDocument/2006/relationships/hyperlink" Target="https://www.cae-eco.fr/" TargetMode="External"/><Relationship Id="rId13" Type="http://schemas.openxmlformats.org/officeDocument/2006/relationships/hyperlink" Target="https://lechommerces.fr/la-vacance-commerciale-progresse-de-nouveau-en-france/" TargetMode="External"/><Relationship Id="rId14" Type="http://schemas.openxmlformats.org/officeDocument/2006/relationships/hyperlink" Target="https://lechommerces.fr/la-vacance-commerciale-progresse-de-nouveau-en-france/" TargetMode="External"/><Relationship Id="rId15" Type="http://schemas.openxmlformats.org/officeDocument/2006/relationships/hyperlink" Target="https://www.codata.eu/blog/quel-bilan-tirer-du-plan-acv-sur-la-vacance-commerciale-des-centres-villes-de-villes-moyennes/" TargetMode="External"/><Relationship Id="rId16" Type="http://schemas.openxmlformats.org/officeDocument/2006/relationships/hyperlink" Target="https://pointsdevente.fr/fil-info/2024-05-23-la-hausse-de-la-vacance-commerciale-reprend-dans-les-centres-villes/" TargetMode="External"/><Relationship Id="rId17" Type="http://schemas.openxmlformats.org/officeDocument/2006/relationships/hyperlink" Target="https://www.publicsenat.fr/actualites/territoires/revitalisation-des-centres-villes-un-rapport-du-senat-pointe-un-sous" TargetMode="External"/><Relationship Id="rId18" Type="http://schemas.openxmlformats.org/officeDocument/2006/relationships/hyperlink" Target="https://www.cerema.fr/fr/actualites/zones-commerciales-centres-villes-trouver-bon-equilibre" TargetMode="External"/><Relationship Id="rId19" Type="http://schemas.openxmlformats.org/officeDocument/2006/relationships/hyperlink" Target="https://www.banquedesterritoires.fr/vacance-commerciale-les-remedes-de-linstitut-pour-la-ville-et-le-commerce" TargetMode="External"/><Relationship Id="rId20" Type="http://schemas.openxmlformats.org/officeDocument/2006/relationships/hyperlink" Target="https://www.banquedesterritoires.fr/la-progression-de-la-vacance-commerciale-ralentit-surtout-dans-les-villes-moyennes" TargetMode="External"/><Relationship Id="rId21" Type="http://schemas.openxmlformats.org/officeDocument/2006/relationships/hyperlink" Target="https://www.senat.fr/rap/r21-910/r21-9109.html" TargetMode="External"/><Relationship Id="rId22" Type="http://schemas.openxmlformats.org/officeDocument/2006/relationships/hyperlink" Target="https://www.ccomptes.fr/sites/default/files/2023-10/20230929-politiques-publiques-commerce-proximite.pdf" TargetMode="External"/><Relationship Id="rId23" Type="http://schemas.openxmlformats.org/officeDocument/2006/relationships/hyperlink" Target="https://www.ccomptes.fr/sites/default/files/EzPublish/07-politique-de-la-ville-RPA2016-Tome-2.pdf" TargetMode="External"/><Relationship Id="rId24" Type="http://schemas.openxmlformats.org/officeDocument/2006/relationships/hyperlink" Target="https://www.ccomptes.fr/fr/publications/levaluation-de-lattractivite-des-quartiers-prioritaires" TargetMode="External"/><Relationship Id="rId25" Type="http://schemas.openxmlformats.org/officeDocument/2006/relationships/hyperlink" Target="https://www.aefinfo.fr/depeche/679781-action-coeur-de-ville-un-programme-ambitieux-mais-difficile-a-evaluer-selon-la-cour-des-comptes" TargetMode="External"/><Relationship Id="rId26" Type="http://schemas.openxmlformats.org/officeDocument/2006/relationships/hyperlink" Target="https://www.banquedesterritoires.fr/sites/default/files/2025-11/Rapport-mission-commerce-de-proximite-centres-villes-QPVf.pdf" TargetMode="External"/><Relationship Id="rId27" Type="http://schemas.openxmlformats.org/officeDocument/2006/relationships/hyperlink" Target="https://www.entreprises.gouv.fr/la-dge/actualites/mission-sur-lavenir-du-commerce-de-proximite-neuf-mesures-retenues-pour" TargetMode="External"/><Relationship Id="rId28" Type="http://schemas.openxmlformats.org/officeDocument/2006/relationships/hyperlink" Target="https://www.senat.fr/rap/r06-049-1/r06-049-1_mono.html" TargetMode="External"/><Relationship Id="rId29" Type="http://schemas.openxmlformats.org/officeDocument/2006/relationships/hyperlink" Target="https://www.onpv.fr/uploads/media_items/onpv-dossier-entreprises-2023.original.pdf" TargetMode="External"/><Relationship Id="rId30" Type="http://schemas.openxmlformats.org/officeDocument/2006/relationships/hyperlink" Target="https://www.inegalites.fr/Chomage-QPV" TargetMode="External"/><Relationship Id="rId31" Type="http://schemas.openxmlformats.org/officeDocument/2006/relationships/hyperlink" Target="https://www.inegalites.fr/Les-revenus-et-la-pauvrete-dans-les-quartiers-les-plus-en-difficulte" TargetMode="External"/><Relationship Id="rId32" Type="http://schemas.openxmlformats.org/officeDocument/2006/relationships/hyperlink" Target="https://anct.gouv.fr/quartiers-prioritaires" TargetMode="External"/><Relationship Id="rId33" Type="http://schemas.openxmlformats.org/officeDocument/2006/relationships/hyperlink" Target="https://www.anru.fr/la-docutheque/le-commerce-dans-les-quartiers-prioritaires-en-renouvellement-urbain" TargetMode="External"/><Relationship Id="rId34" Type="http://schemas.openxmlformats.org/officeDocument/2006/relationships/hyperlink" Target="https://anct.gouv.fr/programmes-dispositifs/action-coeur-de-ville" TargetMode="External"/><Relationship Id="rId35" Type="http://schemas.openxmlformats.org/officeDocument/2006/relationships/hyperlink" Target="https://www.banquedesterritoires.fr/programme-action-coeur-de-ville-2026" TargetMode="External"/><Relationship Id="rId36" Type="http://schemas.openxmlformats.org/officeDocument/2006/relationships/hyperlink" Target="https://anct.gouv.fr/actualites/petites-villes-de-demain-3-ans-d-engagement-et-11-milliard-d-euros-investis" TargetMode="External"/><Relationship Id="rId37" Type="http://schemas.openxmlformats.org/officeDocument/2006/relationships/hyperlink" Target="https://www.banquedesterritoires.fr/la-banque-des-territoires-deploie-un-milliard-deuros-pour-soutenir-le-commerce" TargetMode="External"/><Relationship Id="rId38" Type="http://schemas.openxmlformats.org/officeDocument/2006/relationships/hyperlink" Target="https://www.entreprises.gouv.fr/la-direction-generale-des-entreprises/actualites/annonce-74-laureats-plan-transformation-zones-commerciales" TargetMode="External"/><Relationship Id="rId39" Type="http://schemas.openxmlformats.org/officeDocument/2006/relationships/hyperlink" Target="https://www.banquedesterritoires.fr/2023-annee-de-transition-de-lamenagement-commercial" TargetMode="External"/><Relationship Id="rId40" Type="http://schemas.openxmlformats.org/officeDocument/2006/relationships/hyperlink" Target="https://artificialisation.developpement-durable.gouv.fr/actualites/parution-des-donnees-consommation-despaces-naturels-agricoles-et-forestiers-2011-2025" TargetMode="External"/><Relationship Id="rId41" Type="http://schemas.openxmlformats.org/officeDocument/2006/relationships/hyperlink" Target="https://www.cerema.fr/fr/actualites/artificialisation-sols-quelle-dynamique" TargetMode="External"/><Relationship Id="rId42" Type="http://schemas.openxmlformats.org/officeDocument/2006/relationships/hyperlink" Target="https://www.assemblee-nationale.fr/dyn/15/rapports/cion-dvp/l15b4968_rapport-information.pdf" TargetMode="External"/><Relationship Id="rId43" Type="http://schemas.openxmlformats.org/officeDocument/2006/relationships/hyperlink" Target="https://www.lsa-conso.fr/la-peripherie-urbaine-aimante-le-commerce,323561" TargetMode="External"/><Relationship Id="rId44" Type="http://schemas.openxmlformats.org/officeDocument/2006/relationships/hyperlink" Target="https://www.legifrance.gouv.fr/" TargetMode="External"/><Relationship Id="rId45" Type="http://schemas.openxmlformats.org/officeDocument/2006/relationships/hyperlink" Target="https://www.lsa-conso.fr/l-epareca-aide-les-quartiers-sensibles,34533" TargetMode="External"/><Relationship Id="rId46" Type="http://schemas.openxmlformats.org/officeDocument/2006/relationships/hyperlink" Target="https://media.anct.gouv.fr/s3fs-public/2024-10/DP_ANCT_LE%20MANS_2024_v4%20(7).pdf" TargetMode="External"/><Relationship Id="rId47" Type="http://schemas.openxmlformats.org/officeDocument/2006/relationships/hyperlink" Target="https://www.vie-publique.fr/rapport/24822-le-developpement-des-activites-commerciales-en-centre-ville-rapport-au" TargetMode="External"/><Relationship Id="rId48" Type="http://schemas.openxmlformats.org/officeDocument/2006/relationships/hyperlink" Target="https://www.igf.finances.gouv.fr/igf/accueil/nos-activites/rapports-de-missions/liste-de-tous-les-rapports-de-mi/la-revitalisation-commerciale-de.html" TargetMode="External"/><Relationship Id="rId49" Type="http://schemas.openxmlformats.org/officeDocument/2006/relationships/hyperlink" Target="https://www.ccomptes.fr/fr/publications/le-rapport-public-annuel-2026" TargetMode="External"/><Relationship Id="rId5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64.15" hidden="false" customHeight="false" outlineLevel="0" collapsed="false">
      <c r="A1" s="1" t="s">
        <v>0</v>
      </c>
    </row>
    <row r="2" customFormat="false" ht="22.3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23.85" hidden="false" customHeight="false" outlineLevel="0" collapsed="false">
      <c r="A4" s="4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3" t="s">
        <v>5</v>
      </c>
    </row>
    <row r="6" customFormat="false" ht="15" hidden="false" customHeight="false" outlineLevel="0" collapsed="false">
      <c r="A6" s="4" t="s">
        <v>6</v>
      </c>
      <c r="B6" s="3" t="s">
        <v>7</v>
      </c>
    </row>
    <row r="7" customFormat="false" ht="23.85" hidden="false" customHeight="false" outlineLevel="0" collapsed="false">
      <c r="A7" s="4" t="s">
        <v>8</v>
      </c>
      <c r="B7" s="3" t="s">
        <v>9</v>
      </c>
    </row>
    <row r="8" customFormat="false" ht="15" hidden="false" customHeight="false" outlineLevel="0" collapsed="false">
      <c r="A8" s="4" t="s">
        <v>10</v>
      </c>
      <c r="B8" s="3" t="s">
        <v>11</v>
      </c>
    </row>
    <row r="9" customFormat="false" ht="15" hidden="false" customHeight="false" outlineLevel="0" collapsed="false">
      <c r="A9" s="4" t="s">
        <v>12</v>
      </c>
      <c r="B9" s="3" t="s">
        <v>13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5" t="s">
        <v>14</v>
      </c>
    </row>
    <row r="12" customFormat="false" ht="15" hidden="false" customHeight="false" outlineLevel="0" collapsed="false">
      <c r="A12" s="4" t="s">
        <v>15</v>
      </c>
      <c r="B12" s="3" t="s">
        <v>16</v>
      </c>
    </row>
    <row r="13" customFormat="false" ht="15" hidden="false" customHeight="false" outlineLevel="0" collapsed="false">
      <c r="A13" s="4" t="s">
        <v>17</v>
      </c>
      <c r="B13" s="3" t="s">
        <v>18</v>
      </c>
    </row>
    <row r="14" customFormat="false" ht="15" hidden="false" customHeight="false" outlineLevel="0" collapsed="false">
      <c r="A14" s="4" t="s">
        <v>19</v>
      </c>
      <c r="B14" s="3" t="s">
        <v>20</v>
      </c>
    </row>
    <row r="15" customFormat="false" ht="15" hidden="false" customHeight="false" outlineLevel="0" collapsed="false">
      <c r="A15" s="4" t="s">
        <v>21</v>
      </c>
      <c r="B15" s="3" t="s">
        <v>22</v>
      </c>
    </row>
    <row r="16" customFormat="false" ht="15" hidden="false" customHeight="false" outlineLevel="0" collapsed="false">
      <c r="A16" s="4" t="s">
        <v>23</v>
      </c>
      <c r="B16" s="3" t="s">
        <v>24</v>
      </c>
    </row>
    <row r="17" customFormat="false" ht="15" hidden="false" customHeight="false" outlineLevel="0" collapsed="false">
      <c r="A17" s="4" t="s">
        <v>25</v>
      </c>
      <c r="B17" s="3" t="s">
        <v>26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5" t="s">
        <v>27</v>
      </c>
    </row>
    <row r="20" customFormat="false" ht="15" hidden="false" customHeight="false" outlineLevel="0" collapsed="false">
      <c r="A20" s="3" t="s">
        <v>28</v>
      </c>
      <c r="B20" s="3" t="s">
        <v>29</v>
      </c>
    </row>
    <row r="21" customFormat="false" ht="23.85" hidden="false" customHeight="false" outlineLevel="0" collapsed="false">
      <c r="A21" s="3" t="s">
        <v>30</v>
      </c>
      <c r="B21" s="3" t="s">
        <v>31</v>
      </c>
    </row>
    <row r="22" customFormat="false" ht="23.85" hidden="false" customHeight="false" outlineLevel="0" collapsed="false">
      <c r="A22" s="3" t="s">
        <v>32</v>
      </c>
      <c r="B22" s="3" t="s">
        <v>33</v>
      </c>
    </row>
    <row r="23" customFormat="false" ht="15" hidden="false" customHeight="false" outlineLevel="0" collapsed="false">
      <c r="A23" s="3" t="s">
        <v>34</v>
      </c>
      <c r="B23" s="3" t="s">
        <v>35</v>
      </c>
    </row>
    <row r="24" customFormat="false" ht="23.85" hidden="false" customHeight="false" outlineLevel="0" collapsed="false">
      <c r="A24" s="3" t="s">
        <v>36</v>
      </c>
      <c r="B24" s="3" t="s">
        <v>37</v>
      </c>
    </row>
    <row r="25" customFormat="false" ht="15" hidden="false" customHeight="false" outlineLevel="0" collapsed="false">
      <c r="A25" s="3"/>
    </row>
    <row r="26" customFormat="false" ht="23.85" hidden="false" customHeight="false" outlineLevel="0" collapsed="false">
      <c r="A26" s="4" t="s">
        <v>38</v>
      </c>
      <c r="B26" s="3" t="s">
        <v>39</v>
      </c>
    </row>
    <row r="27" customFormat="false" ht="23.85" hidden="false" customHeight="false" outlineLevel="0" collapsed="false">
      <c r="A27" s="4" t="s">
        <v>40</v>
      </c>
      <c r="B27" s="3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20"/>
    <col collapsed="false" customWidth="true" hidden="false" outlineLevel="0" max="8" min="8" style="0" width="52"/>
    <col collapsed="false" customWidth="true" hidden="fals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4" min="13" style="0" width="30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6" t="s">
        <v>42</v>
      </c>
    </row>
    <row r="2" customFormat="false" ht="15" hidden="false" customHeight="false" outlineLevel="0" collapsed="false">
      <c r="A2" s="7" t="s">
        <v>43</v>
      </c>
    </row>
    <row r="4" customFormat="false" ht="31.5" hidden="false" customHeight="true" outlineLevel="0" collapsed="false">
      <c r="A4" s="8" t="s">
        <v>44</v>
      </c>
      <c r="B4" s="8" t="s">
        <v>45</v>
      </c>
      <c r="C4" s="8" t="s">
        <v>15</v>
      </c>
      <c r="D4" s="8" t="s">
        <v>46</v>
      </c>
      <c r="E4" s="8" t="s">
        <v>47</v>
      </c>
      <c r="F4" s="8" t="s">
        <v>19</v>
      </c>
      <c r="G4" s="8" t="s">
        <v>21</v>
      </c>
      <c r="H4" s="8" t="s">
        <v>48</v>
      </c>
      <c r="I4" s="8" t="s">
        <v>49</v>
      </c>
      <c r="J4" s="8" t="s">
        <v>50</v>
      </c>
      <c r="K4" s="8" t="s">
        <v>51</v>
      </c>
      <c r="L4" s="8" t="s">
        <v>52</v>
      </c>
      <c r="M4" s="8" t="s">
        <v>25</v>
      </c>
      <c r="N4" s="8" t="s">
        <v>53</v>
      </c>
      <c r="O4" s="8" t="s">
        <v>54</v>
      </c>
    </row>
    <row r="5" customFormat="false" ht="23.85" hidden="false" customHeight="false" outlineLevel="0" collapsed="false">
      <c r="A5" s="9" t="n">
        <v>1</v>
      </c>
      <c r="B5" s="9" t="s">
        <v>55</v>
      </c>
      <c r="C5" s="9" t="s">
        <v>56</v>
      </c>
      <c r="D5" s="10" t="n">
        <v>1500</v>
      </c>
      <c r="E5" s="9" t="s">
        <v>57</v>
      </c>
      <c r="F5" s="11" t="s">
        <v>58</v>
      </c>
      <c r="G5" s="9" t="s">
        <v>59</v>
      </c>
      <c r="H5" s="9" t="s">
        <v>60</v>
      </c>
      <c r="I5" s="9" t="s">
        <v>61</v>
      </c>
      <c r="J5" s="9" t="s">
        <v>62</v>
      </c>
      <c r="K5" s="9" t="s">
        <v>63</v>
      </c>
      <c r="L5" s="9" t="s">
        <v>64</v>
      </c>
      <c r="M5" s="9" t="s">
        <v>28</v>
      </c>
      <c r="N5" s="12" t="s">
        <v>65</v>
      </c>
      <c r="O5" s="9"/>
    </row>
    <row r="6" customFormat="false" ht="23.85" hidden="false" customHeight="false" outlineLevel="0" collapsed="false">
      <c r="A6" s="9" t="n">
        <v>2</v>
      </c>
      <c r="B6" s="9" t="s">
        <v>55</v>
      </c>
      <c r="C6" s="9" t="s">
        <v>66</v>
      </c>
      <c r="D6" s="10" t="n">
        <v>500</v>
      </c>
      <c r="E6" s="9" t="s">
        <v>67</v>
      </c>
      <c r="F6" s="11" t="s">
        <v>58</v>
      </c>
      <c r="G6" s="9" t="s">
        <v>59</v>
      </c>
      <c r="H6" s="9" t="s">
        <v>68</v>
      </c>
      <c r="I6" s="9" t="s">
        <v>61</v>
      </c>
      <c r="J6" s="9" t="s">
        <v>62</v>
      </c>
      <c r="K6" s="9" t="s">
        <v>63</v>
      </c>
      <c r="L6" s="9" t="s">
        <v>64</v>
      </c>
      <c r="M6" s="9" t="s">
        <v>28</v>
      </c>
      <c r="N6" s="12" t="s">
        <v>65</v>
      </c>
      <c r="O6" s="9" t="s">
        <v>69</v>
      </c>
    </row>
    <row r="7" customFormat="false" ht="35.05" hidden="false" customHeight="false" outlineLevel="0" collapsed="false">
      <c r="A7" s="9" t="n">
        <v>3</v>
      </c>
      <c r="B7" s="9" t="s">
        <v>55</v>
      </c>
      <c r="C7" s="9" t="s">
        <v>70</v>
      </c>
      <c r="D7" s="10" t="n">
        <v>1527</v>
      </c>
      <c r="E7" s="9" t="s">
        <v>71</v>
      </c>
      <c r="F7" s="11" t="s">
        <v>72</v>
      </c>
      <c r="G7" s="9" t="s">
        <v>73</v>
      </c>
      <c r="H7" s="9" t="s">
        <v>74</v>
      </c>
      <c r="I7" s="9" t="s">
        <v>75</v>
      </c>
      <c r="J7" s="9" t="s">
        <v>76</v>
      </c>
      <c r="K7" s="9" t="s">
        <v>77</v>
      </c>
      <c r="L7" s="9" t="s">
        <v>64</v>
      </c>
      <c r="M7" s="9" t="s">
        <v>28</v>
      </c>
      <c r="N7" s="12" t="s">
        <v>78</v>
      </c>
      <c r="O7" s="9" t="s">
        <v>79</v>
      </c>
    </row>
    <row r="8" customFormat="false" ht="23.85" hidden="false" customHeight="false" outlineLevel="0" collapsed="false">
      <c r="A8" s="9" t="n">
        <v>4</v>
      </c>
      <c r="B8" s="9" t="s">
        <v>55</v>
      </c>
      <c r="C8" s="9" t="s">
        <v>80</v>
      </c>
      <c r="D8" s="10" t="n">
        <v>84</v>
      </c>
      <c r="E8" s="9" t="s">
        <v>81</v>
      </c>
      <c r="F8" s="11" t="s">
        <v>82</v>
      </c>
      <c r="G8" s="9" t="s">
        <v>83</v>
      </c>
      <c r="H8" s="9" t="s">
        <v>84</v>
      </c>
      <c r="I8" s="9" t="s">
        <v>61</v>
      </c>
      <c r="J8" s="9" t="s">
        <v>62</v>
      </c>
      <c r="K8" s="9" t="s">
        <v>63</v>
      </c>
      <c r="L8" s="9" t="s">
        <v>64</v>
      </c>
      <c r="M8" s="9" t="s">
        <v>28</v>
      </c>
      <c r="N8" s="12" t="s">
        <v>65</v>
      </c>
      <c r="O8" s="9" t="s">
        <v>85</v>
      </c>
    </row>
    <row r="9" customFormat="false" ht="23.85" hidden="false" customHeight="false" outlineLevel="0" collapsed="false">
      <c r="A9" s="9" t="n">
        <v>5</v>
      </c>
      <c r="B9" s="9" t="s">
        <v>55</v>
      </c>
      <c r="C9" s="9" t="s">
        <v>86</v>
      </c>
      <c r="D9" s="10" t="n">
        <v>88</v>
      </c>
      <c r="E9" s="9" t="s">
        <v>81</v>
      </c>
      <c r="F9" s="11" t="s">
        <v>82</v>
      </c>
      <c r="G9" s="9" t="s">
        <v>87</v>
      </c>
      <c r="H9" s="9" t="s">
        <v>88</v>
      </c>
      <c r="I9" s="9" t="s">
        <v>61</v>
      </c>
      <c r="J9" s="9" t="s">
        <v>62</v>
      </c>
      <c r="K9" s="9" t="s">
        <v>63</v>
      </c>
      <c r="L9" s="9" t="s">
        <v>64</v>
      </c>
      <c r="M9" s="9" t="s">
        <v>28</v>
      </c>
      <c r="N9" s="12" t="s">
        <v>65</v>
      </c>
      <c r="O9" s="9"/>
    </row>
    <row r="10" customFormat="false" ht="35.05" hidden="false" customHeight="false" outlineLevel="0" collapsed="false">
      <c r="A10" s="9" t="n">
        <v>6</v>
      </c>
      <c r="B10" s="9" t="s">
        <v>55</v>
      </c>
      <c r="C10" s="9" t="s">
        <v>89</v>
      </c>
      <c r="D10" s="10" t="n">
        <v>65</v>
      </c>
      <c r="E10" s="9" t="s">
        <v>81</v>
      </c>
      <c r="F10" s="11" t="s">
        <v>90</v>
      </c>
      <c r="G10" s="9" t="s">
        <v>91</v>
      </c>
      <c r="H10" s="9" t="s">
        <v>92</v>
      </c>
      <c r="I10" s="9" t="s">
        <v>93</v>
      </c>
      <c r="J10" s="9" t="s">
        <v>94</v>
      </c>
      <c r="K10" s="9" t="s">
        <v>95</v>
      </c>
      <c r="L10" s="9" t="s">
        <v>96</v>
      </c>
      <c r="M10" s="9" t="s">
        <v>28</v>
      </c>
      <c r="N10" s="12" t="s">
        <v>97</v>
      </c>
      <c r="O10" s="9" t="s">
        <v>98</v>
      </c>
    </row>
    <row r="11" customFormat="false" ht="35.05" hidden="false" customHeight="false" outlineLevel="0" collapsed="false">
      <c r="A11" s="9" t="n">
        <v>7</v>
      </c>
      <c r="B11" s="9" t="s">
        <v>55</v>
      </c>
      <c r="C11" s="9" t="s">
        <v>99</v>
      </c>
      <c r="D11" s="10" t="n">
        <v>45</v>
      </c>
      <c r="E11" s="9" t="s">
        <v>81</v>
      </c>
      <c r="F11" s="11" t="s">
        <v>90</v>
      </c>
      <c r="G11" s="9" t="s">
        <v>91</v>
      </c>
      <c r="H11" s="9" t="s">
        <v>100</v>
      </c>
      <c r="I11" s="9" t="s">
        <v>93</v>
      </c>
      <c r="J11" s="9" t="s">
        <v>94</v>
      </c>
      <c r="K11" s="9" t="s">
        <v>95</v>
      </c>
      <c r="L11" s="9" t="s">
        <v>96</v>
      </c>
      <c r="M11" s="9" t="s">
        <v>28</v>
      </c>
      <c r="N11" s="12" t="s">
        <v>97</v>
      </c>
      <c r="O11" s="9"/>
    </row>
    <row r="12" customFormat="false" ht="35.05" hidden="false" customHeight="false" outlineLevel="0" collapsed="false">
      <c r="A12" s="9" t="n">
        <v>8</v>
      </c>
      <c r="B12" s="9" t="s">
        <v>55</v>
      </c>
      <c r="C12" s="9" t="s">
        <v>101</v>
      </c>
      <c r="D12" s="10" t="n">
        <v>7951</v>
      </c>
      <c r="E12" s="9" t="s">
        <v>102</v>
      </c>
      <c r="F12" s="11" t="s">
        <v>90</v>
      </c>
      <c r="G12" s="9" t="s">
        <v>91</v>
      </c>
      <c r="H12" s="9" t="s">
        <v>103</v>
      </c>
      <c r="I12" s="9" t="s">
        <v>93</v>
      </c>
      <c r="J12" s="9" t="s">
        <v>94</v>
      </c>
      <c r="K12" s="9" t="s">
        <v>95</v>
      </c>
      <c r="L12" s="9" t="s">
        <v>96</v>
      </c>
      <c r="M12" s="9" t="s">
        <v>28</v>
      </c>
      <c r="N12" s="12" t="s">
        <v>97</v>
      </c>
      <c r="O12" s="9"/>
    </row>
    <row r="13" customFormat="false" ht="46.25" hidden="false" customHeight="false" outlineLevel="0" collapsed="false">
      <c r="A13" s="9" t="n">
        <v>9</v>
      </c>
      <c r="B13" s="9" t="s">
        <v>55</v>
      </c>
      <c r="C13" s="9" t="s">
        <v>104</v>
      </c>
      <c r="D13" s="10" t="n">
        <v>37</v>
      </c>
      <c r="E13" s="9" t="s">
        <v>81</v>
      </c>
      <c r="F13" s="11" t="s">
        <v>105</v>
      </c>
      <c r="G13" s="9" t="s">
        <v>59</v>
      </c>
      <c r="H13" s="9" t="s">
        <v>106</v>
      </c>
      <c r="I13" s="9" t="s">
        <v>107</v>
      </c>
      <c r="J13" s="9" t="s">
        <v>108</v>
      </c>
      <c r="K13" s="9" t="s">
        <v>109</v>
      </c>
      <c r="L13" s="9" t="s">
        <v>96</v>
      </c>
      <c r="M13" s="9" t="s">
        <v>28</v>
      </c>
      <c r="N13" s="12" t="s">
        <v>110</v>
      </c>
      <c r="O13" s="9" t="s">
        <v>111</v>
      </c>
    </row>
    <row r="14" customFormat="false" ht="46.25" hidden="false" customHeight="false" outlineLevel="0" collapsed="false">
      <c r="A14" s="9" t="n">
        <v>10</v>
      </c>
      <c r="B14" s="9" t="s">
        <v>55</v>
      </c>
      <c r="C14" s="9" t="s">
        <v>112</v>
      </c>
      <c r="D14" s="10" t="n">
        <v>586</v>
      </c>
      <c r="E14" s="9" t="s">
        <v>113</v>
      </c>
      <c r="F14" s="11" t="s">
        <v>105</v>
      </c>
      <c r="G14" s="9" t="s">
        <v>59</v>
      </c>
      <c r="H14" s="9" t="s">
        <v>114</v>
      </c>
      <c r="I14" s="9" t="s">
        <v>107</v>
      </c>
      <c r="J14" s="9" t="s">
        <v>108</v>
      </c>
      <c r="K14" s="9" t="s">
        <v>109</v>
      </c>
      <c r="L14" s="9" t="s">
        <v>96</v>
      </c>
      <c r="M14" s="9" t="s">
        <v>28</v>
      </c>
      <c r="N14" s="12" t="s">
        <v>110</v>
      </c>
      <c r="O14" s="9"/>
    </row>
    <row r="15" customFormat="false" ht="46.25" hidden="false" customHeight="false" outlineLevel="0" collapsed="false">
      <c r="A15" s="9" t="n">
        <v>11</v>
      </c>
      <c r="B15" s="9" t="s">
        <v>55</v>
      </c>
      <c r="C15" s="9" t="s">
        <v>115</v>
      </c>
      <c r="D15" s="10" t="n">
        <v>92</v>
      </c>
      <c r="E15" s="9" t="s">
        <v>113</v>
      </c>
      <c r="F15" s="11" t="s">
        <v>105</v>
      </c>
      <c r="G15" s="9" t="s">
        <v>59</v>
      </c>
      <c r="H15" s="9" t="s">
        <v>116</v>
      </c>
      <c r="I15" s="9" t="s">
        <v>107</v>
      </c>
      <c r="J15" s="9" t="s">
        <v>108</v>
      </c>
      <c r="K15" s="9" t="s">
        <v>109</v>
      </c>
      <c r="L15" s="9" t="s">
        <v>96</v>
      </c>
      <c r="M15" s="9" t="s">
        <v>28</v>
      </c>
      <c r="N15" s="12" t="s">
        <v>110</v>
      </c>
      <c r="O15" s="9"/>
    </row>
    <row r="16" customFormat="false" ht="46.25" hidden="false" customHeight="false" outlineLevel="0" collapsed="false">
      <c r="A16" s="9" t="n">
        <v>12</v>
      </c>
      <c r="B16" s="9" t="s">
        <v>55</v>
      </c>
      <c r="C16" s="9" t="s">
        <v>117</v>
      </c>
      <c r="D16" s="10" t="n">
        <v>72</v>
      </c>
      <c r="E16" s="9" t="s">
        <v>81</v>
      </c>
      <c r="F16" s="11" t="s">
        <v>118</v>
      </c>
      <c r="G16" s="9" t="s">
        <v>59</v>
      </c>
      <c r="H16" s="9" t="s">
        <v>119</v>
      </c>
      <c r="I16" s="9" t="s">
        <v>120</v>
      </c>
      <c r="J16" s="9" t="s">
        <v>121</v>
      </c>
      <c r="K16" s="9" t="s">
        <v>122</v>
      </c>
      <c r="L16" s="9" t="s">
        <v>64</v>
      </c>
      <c r="M16" s="9" t="s">
        <v>28</v>
      </c>
      <c r="N16" s="12" t="s">
        <v>123</v>
      </c>
      <c r="O16" s="9" t="s">
        <v>124</v>
      </c>
    </row>
    <row r="17" customFormat="false" ht="46.25" hidden="false" customHeight="false" outlineLevel="0" collapsed="false">
      <c r="A17" s="9" t="n">
        <v>13</v>
      </c>
      <c r="B17" s="9" t="s">
        <v>55</v>
      </c>
      <c r="C17" s="9" t="s">
        <v>125</v>
      </c>
      <c r="D17" s="10" t="n">
        <v>15</v>
      </c>
      <c r="E17" s="9" t="s">
        <v>81</v>
      </c>
      <c r="F17" s="11" t="s">
        <v>118</v>
      </c>
      <c r="G17" s="9" t="s">
        <v>59</v>
      </c>
      <c r="H17" s="9" t="s">
        <v>126</v>
      </c>
      <c r="I17" s="9" t="s">
        <v>120</v>
      </c>
      <c r="J17" s="9" t="s">
        <v>121</v>
      </c>
      <c r="K17" s="9" t="s">
        <v>122</v>
      </c>
      <c r="L17" s="9" t="s">
        <v>64</v>
      </c>
      <c r="M17" s="9" t="s">
        <v>28</v>
      </c>
      <c r="N17" s="12" t="s">
        <v>123</v>
      </c>
      <c r="O17" s="9"/>
    </row>
    <row r="18" customFormat="false" ht="23.85" hidden="false" customHeight="false" outlineLevel="0" collapsed="false">
      <c r="A18" s="9" t="n">
        <v>14</v>
      </c>
      <c r="B18" s="9" t="s">
        <v>55</v>
      </c>
      <c r="C18" s="9" t="s">
        <v>127</v>
      </c>
      <c r="D18" s="10" t="n">
        <v>70</v>
      </c>
      <c r="E18" s="9" t="s">
        <v>128</v>
      </c>
      <c r="F18" s="11" t="s">
        <v>129</v>
      </c>
      <c r="G18" s="9" t="s">
        <v>59</v>
      </c>
      <c r="H18" s="9" t="s">
        <v>130</v>
      </c>
      <c r="I18" s="9" t="s">
        <v>131</v>
      </c>
      <c r="J18" s="9" t="s">
        <v>132</v>
      </c>
      <c r="K18" s="9" t="s">
        <v>133</v>
      </c>
      <c r="L18" s="9" t="s">
        <v>134</v>
      </c>
      <c r="M18" s="9" t="s">
        <v>28</v>
      </c>
      <c r="N18" s="12" t="s">
        <v>135</v>
      </c>
      <c r="O18" s="9" t="s">
        <v>136</v>
      </c>
    </row>
    <row r="19" customFormat="false" ht="23.85" hidden="false" customHeight="false" outlineLevel="0" collapsed="false">
      <c r="A19" s="9" t="n">
        <v>15</v>
      </c>
      <c r="B19" s="9" t="s">
        <v>55</v>
      </c>
      <c r="C19" s="9" t="s">
        <v>137</v>
      </c>
      <c r="D19" s="10" t="n">
        <v>75</v>
      </c>
      <c r="E19" s="9" t="s">
        <v>81</v>
      </c>
      <c r="F19" s="11" t="s">
        <v>138</v>
      </c>
      <c r="G19" s="9" t="s">
        <v>59</v>
      </c>
      <c r="H19" s="9" t="s">
        <v>139</v>
      </c>
      <c r="I19" s="9" t="s">
        <v>140</v>
      </c>
      <c r="J19" s="9" t="s">
        <v>141</v>
      </c>
      <c r="K19" s="9" t="s">
        <v>142</v>
      </c>
      <c r="L19" s="9" t="s">
        <v>64</v>
      </c>
      <c r="M19" s="9" t="s">
        <v>32</v>
      </c>
      <c r="N19" s="12" t="s">
        <v>143</v>
      </c>
      <c r="O19" s="9" t="s">
        <v>144</v>
      </c>
    </row>
    <row r="20" customFormat="false" ht="35.05" hidden="false" customHeight="false" outlineLevel="0" collapsed="false">
      <c r="A20" s="9" t="n">
        <v>16</v>
      </c>
      <c r="B20" s="9" t="s">
        <v>55</v>
      </c>
      <c r="C20" s="9" t="s">
        <v>145</v>
      </c>
      <c r="D20" s="10" t="n">
        <v>67</v>
      </c>
      <c r="E20" s="9" t="s">
        <v>81</v>
      </c>
      <c r="F20" s="11" t="s">
        <v>146</v>
      </c>
      <c r="G20" s="9" t="s">
        <v>59</v>
      </c>
      <c r="H20" s="9" t="s">
        <v>147</v>
      </c>
      <c r="I20" s="9" t="s">
        <v>148</v>
      </c>
      <c r="J20" s="9" t="s">
        <v>149</v>
      </c>
      <c r="K20" s="9" t="s">
        <v>146</v>
      </c>
      <c r="L20" s="9" t="s">
        <v>134</v>
      </c>
      <c r="M20" s="9" t="s">
        <v>36</v>
      </c>
      <c r="N20" s="9"/>
      <c r="O20" s="9" t="s">
        <v>150</v>
      </c>
    </row>
    <row r="21" customFormat="false" ht="35.05" hidden="false" customHeight="false" outlineLevel="0" collapsed="false">
      <c r="A21" s="9" t="n">
        <v>17</v>
      </c>
      <c r="B21" s="9" t="s">
        <v>55</v>
      </c>
      <c r="C21" s="9" t="s">
        <v>151</v>
      </c>
      <c r="D21" s="10" t="n">
        <v>11</v>
      </c>
      <c r="E21" s="9" t="s">
        <v>81</v>
      </c>
      <c r="F21" s="11" t="s">
        <v>146</v>
      </c>
      <c r="G21" s="9" t="s">
        <v>59</v>
      </c>
      <c r="H21" s="9" t="s">
        <v>152</v>
      </c>
      <c r="I21" s="9" t="s">
        <v>148</v>
      </c>
      <c r="J21" s="9" t="s">
        <v>149</v>
      </c>
      <c r="K21" s="9" t="s">
        <v>146</v>
      </c>
      <c r="L21" s="9" t="s">
        <v>134</v>
      </c>
      <c r="M21" s="9" t="s">
        <v>36</v>
      </c>
      <c r="N21" s="9"/>
      <c r="O21" s="9"/>
    </row>
    <row r="22" customFormat="false" ht="35.05" hidden="false" customHeight="false" outlineLevel="0" collapsed="false">
      <c r="A22" s="9" t="n">
        <v>18</v>
      </c>
      <c r="B22" s="9" t="s">
        <v>55</v>
      </c>
      <c r="C22" s="9" t="s">
        <v>153</v>
      </c>
      <c r="D22" s="10" t="n">
        <v>11</v>
      </c>
      <c r="E22" s="9" t="s">
        <v>81</v>
      </c>
      <c r="F22" s="11" t="s">
        <v>146</v>
      </c>
      <c r="G22" s="9" t="s">
        <v>59</v>
      </c>
      <c r="H22" s="9" t="s">
        <v>154</v>
      </c>
      <c r="I22" s="9" t="s">
        <v>148</v>
      </c>
      <c r="J22" s="9" t="s">
        <v>149</v>
      </c>
      <c r="K22" s="9" t="s">
        <v>146</v>
      </c>
      <c r="L22" s="9" t="s">
        <v>134</v>
      </c>
      <c r="M22" s="9" t="s">
        <v>36</v>
      </c>
      <c r="N22" s="9"/>
      <c r="O22" s="9"/>
    </row>
    <row r="23" customFormat="false" ht="46.25" hidden="false" customHeight="false" outlineLevel="0" collapsed="false">
      <c r="A23" s="9" t="n">
        <v>19</v>
      </c>
      <c r="B23" s="9" t="s">
        <v>55</v>
      </c>
      <c r="C23" s="9" t="s">
        <v>155</v>
      </c>
      <c r="D23" s="13" t="s">
        <v>156</v>
      </c>
      <c r="E23" s="9" t="s">
        <v>157</v>
      </c>
      <c r="F23" s="11" t="s">
        <v>158</v>
      </c>
      <c r="G23" s="9" t="s">
        <v>59</v>
      </c>
      <c r="H23" s="9" t="s">
        <v>159</v>
      </c>
      <c r="I23" s="9" t="s">
        <v>160</v>
      </c>
      <c r="J23" s="9" t="s">
        <v>161</v>
      </c>
      <c r="K23" s="9" t="s">
        <v>105</v>
      </c>
      <c r="L23" s="9" t="s">
        <v>162</v>
      </c>
      <c r="M23" s="9" t="s">
        <v>30</v>
      </c>
      <c r="N23" s="12" t="s">
        <v>163</v>
      </c>
      <c r="O23" s="9"/>
    </row>
    <row r="24" customFormat="false" ht="23.85" hidden="false" customHeight="false" outlineLevel="0" collapsed="false">
      <c r="A24" s="9" t="n">
        <v>20</v>
      </c>
      <c r="B24" s="9" t="s">
        <v>55</v>
      </c>
      <c r="C24" s="9" t="s">
        <v>164</v>
      </c>
      <c r="D24" s="14" t="n">
        <v>3.2</v>
      </c>
      <c r="E24" s="9" t="s">
        <v>165</v>
      </c>
      <c r="F24" s="11" t="s">
        <v>82</v>
      </c>
      <c r="G24" s="9" t="s">
        <v>59</v>
      </c>
      <c r="H24" s="9" t="s">
        <v>166</v>
      </c>
      <c r="I24" s="9" t="s">
        <v>167</v>
      </c>
      <c r="J24" s="9" t="s">
        <v>168</v>
      </c>
      <c r="K24" s="9" t="s">
        <v>82</v>
      </c>
      <c r="L24" s="9" t="s">
        <v>169</v>
      </c>
      <c r="M24" s="9" t="s">
        <v>34</v>
      </c>
      <c r="N24" s="12" t="s">
        <v>170</v>
      </c>
      <c r="O24" s="9" t="s">
        <v>171</v>
      </c>
    </row>
    <row r="25" customFormat="false" ht="35.05" hidden="false" customHeight="false" outlineLevel="0" collapsed="false">
      <c r="A25" s="9" t="n">
        <v>21</v>
      </c>
      <c r="B25" s="9" t="s">
        <v>172</v>
      </c>
      <c r="C25" s="9" t="s">
        <v>173</v>
      </c>
      <c r="D25" s="14" t="n">
        <v>2.3</v>
      </c>
      <c r="E25" s="9" t="s">
        <v>174</v>
      </c>
      <c r="F25" s="11" t="s">
        <v>175</v>
      </c>
      <c r="G25" s="9" t="s">
        <v>91</v>
      </c>
      <c r="H25" s="9" t="s">
        <v>176</v>
      </c>
      <c r="I25" s="9" t="s">
        <v>93</v>
      </c>
      <c r="J25" s="9" t="s">
        <v>94</v>
      </c>
      <c r="K25" s="9" t="s">
        <v>95</v>
      </c>
      <c r="L25" s="9" t="s">
        <v>96</v>
      </c>
      <c r="M25" s="9" t="s">
        <v>28</v>
      </c>
      <c r="N25" s="12" t="s">
        <v>97</v>
      </c>
      <c r="O25" s="9"/>
    </row>
    <row r="26" customFormat="false" ht="35.05" hidden="false" customHeight="false" outlineLevel="0" collapsed="false">
      <c r="A26" s="9" t="n">
        <v>22</v>
      </c>
      <c r="B26" s="9" t="s">
        <v>172</v>
      </c>
      <c r="C26" s="9" t="s">
        <v>177</v>
      </c>
      <c r="D26" s="14" t="n">
        <v>0.2</v>
      </c>
      <c r="E26" s="9" t="s">
        <v>174</v>
      </c>
      <c r="F26" s="11" t="s">
        <v>175</v>
      </c>
      <c r="G26" s="9" t="s">
        <v>91</v>
      </c>
      <c r="H26" s="9" t="s">
        <v>178</v>
      </c>
      <c r="I26" s="9" t="s">
        <v>93</v>
      </c>
      <c r="J26" s="9" t="s">
        <v>94</v>
      </c>
      <c r="K26" s="9" t="s">
        <v>95</v>
      </c>
      <c r="L26" s="9" t="s">
        <v>96</v>
      </c>
      <c r="M26" s="9" t="s">
        <v>28</v>
      </c>
      <c r="N26" s="12" t="s">
        <v>97</v>
      </c>
      <c r="O26" s="9" t="s">
        <v>179</v>
      </c>
    </row>
    <row r="27" customFormat="false" ht="35.05" hidden="false" customHeight="false" outlineLevel="0" collapsed="false">
      <c r="A27" s="9" t="n">
        <v>23</v>
      </c>
      <c r="B27" s="9" t="s">
        <v>172</v>
      </c>
      <c r="C27" s="9" t="s">
        <v>180</v>
      </c>
      <c r="D27" s="14" t="n">
        <v>-1.2</v>
      </c>
      <c r="E27" s="9" t="s">
        <v>174</v>
      </c>
      <c r="F27" s="11" t="s">
        <v>175</v>
      </c>
      <c r="G27" s="9" t="s">
        <v>91</v>
      </c>
      <c r="H27" s="9" t="s">
        <v>181</v>
      </c>
      <c r="I27" s="9" t="s">
        <v>93</v>
      </c>
      <c r="J27" s="9" t="s">
        <v>94</v>
      </c>
      <c r="K27" s="9" t="s">
        <v>95</v>
      </c>
      <c r="L27" s="9" t="s">
        <v>96</v>
      </c>
      <c r="M27" s="9" t="s">
        <v>28</v>
      </c>
      <c r="N27" s="12" t="s">
        <v>97</v>
      </c>
      <c r="O27" s="9"/>
    </row>
    <row r="28" customFormat="false" ht="35.05" hidden="false" customHeight="false" outlineLevel="0" collapsed="false">
      <c r="A28" s="9" t="n">
        <v>24</v>
      </c>
      <c r="B28" s="9" t="s">
        <v>172</v>
      </c>
      <c r="C28" s="9" t="s">
        <v>182</v>
      </c>
      <c r="D28" s="10" t="n">
        <v>38</v>
      </c>
      <c r="E28" s="9" t="s">
        <v>81</v>
      </c>
      <c r="F28" s="11" t="s">
        <v>175</v>
      </c>
      <c r="G28" s="9" t="s">
        <v>91</v>
      </c>
      <c r="H28" s="9" t="s">
        <v>183</v>
      </c>
      <c r="I28" s="9" t="s">
        <v>93</v>
      </c>
      <c r="J28" s="9" t="s">
        <v>94</v>
      </c>
      <c r="K28" s="9" t="s">
        <v>95</v>
      </c>
      <c r="L28" s="9" t="s">
        <v>96</v>
      </c>
      <c r="M28" s="9" t="s">
        <v>28</v>
      </c>
      <c r="N28" s="12" t="s">
        <v>97</v>
      </c>
      <c r="O28" s="9"/>
    </row>
    <row r="29" customFormat="false" ht="35.05" hidden="false" customHeight="false" outlineLevel="0" collapsed="false">
      <c r="A29" s="9" t="n">
        <v>25</v>
      </c>
      <c r="B29" s="9" t="s">
        <v>172</v>
      </c>
      <c r="C29" s="9" t="s">
        <v>184</v>
      </c>
      <c r="D29" s="10" t="n">
        <v>23</v>
      </c>
      <c r="E29" s="9" t="s">
        <v>81</v>
      </c>
      <c r="F29" s="11" t="s">
        <v>175</v>
      </c>
      <c r="G29" s="9" t="s">
        <v>91</v>
      </c>
      <c r="H29" s="9"/>
      <c r="I29" s="9" t="s">
        <v>93</v>
      </c>
      <c r="J29" s="9" t="s">
        <v>94</v>
      </c>
      <c r="K29" s="9" t="s">
        <v>95</v>
      </c>
      <c r="L29" s="9" t="s">
        <v>96</v>
      </c>
      <c r="M29" s="9" t="s">
        <v>28</v>
      </c>
      <c r="N29" s="12" t="s">
        <v>97</v>
      </c>
      <c r="O29" s="9"/>
    </row>
    <row r="30" customFormat="false" ht="35.05" hidden="false" customHeight="false" outlineLevel="0" collapsed="false">
      <c r="A30" s="9" t="n">
        <v>26</v>
      </c>
      <c r="B30" s="9" t="s">
        <v>172</v>
      </c>
      <c r="C30" s="9" t="s">
        <v>185</v>
      </c>
      <c r="D30" s="10" t="n">
        <v>46</v>
      </c>
      <c r="E30" s="9" t="s">
        <v>81</v>
      </c>
      <c r="F30" s="11" t="s">
        <v>175</v>
      </c>
      <c r="G30" s="9" t="s">
        <v>91</v>
      </c>
      <c r="H30" s="9" t="s">
        <v>186</v>
      </c>
      <c r="I30" s="9" t="s">
        <v>93</v>
      </c>
      <c r="J30" s="9" t="s">
        <v>94</v>
      </c>
      <c r="K30" s="9" t="s">
        <v>95</v>
      </c>
      <c r="L30" s="9" t="s">
        <v>96</v>
      </c>
      <c r="M30" s="9" t="s">
        <v>28</v>
      </c>
      <c r="N30" s="12" t="s">
        <v>97</v>
      </c>
      <c r="O30" s="9" t="s">
        <v>187</v>
      </c>
    </row>
    <row r="31" customFormat="false" ht="35.05" hidden="false" customHeight="false" outlineLevel="0" collapsed="false">
      <c r="A31" s="9" t="n">
        <v>27</v>
      </c>
      <c r="B31" s="9" t="s">
        <v>172</v>
      </c>
      <c r="C31" s="9" t="s">
        <v>188</v>
      </c>
      <c r="D31" s="10" t="n">
        <v>57</v>
      </c>
      <c r="E31" s="9" t="s">
        <v>81</v>
      </c>
      <c r="F31" s="11" t="s">
        <v>175</v>
      </c>
      <c r="G31" s="9" t="s">
        <v>91</v>
      </c>
      <c r="H31" s="9" t="s">
        <v>189</v>
      </c>
      <c r="I31" s="9" t="s">
        <v>93</v>
      </c>
      <c r="J31" s="9" t="s">
        <v>94</v>
      </c>
      <c r="K31" s="9" t="s">
        <v>95</v>
      </c>
      <c r="L31" s="9" t="s">
        <v>96</v>
      </c>
      <c r="M31" s="9" t="s">
        <v>28</v>
      </c>
      <c r="N31" s="12" t="s">
        <v>97</v>
      </c>
      <c r="O31" s="9" t="s">
        <v>190</v>
      </c>
    </row>
    <row r="32" customFormat="false" ht="35.05" hidden="false" customHeight="false" outlineLevel="0" collapsed="false">
      <c r="A32" s="9" t="n">
        <v>28</v>
      </c>
      <c r="B32" s="9" t="s">
        <v>172</v>
      </c>
      <c r="C32" s="9" t="s">
        <v>191</v>
      </c>
      <c r="D32" s="10" t="n">
        <v>82</v>
      </c>
      <c r="E32" s="9" t="s">
        <v>81</v>
      </c>
      <c r="F32" s="11" t="s">
        <v>175</v>
      </c>
      <c r="G32" s="9" t="s">
        <v>192</v>
      </c>
      <c r="H32" s="9" t="s">
        <v>193</v>
      </c>
      <c r="I32" s="9" t="s">
        <v>194</v>
      </c>
      <c r="J32" s="9" t="s">
        <v>195</v>
      </c>
      <c r="K32" s="9" t="s">
        <v>196</v>
      </c>
      <c r="L32" s="9" t="s">
        <v>96</v>
      </c>
      <c r="M32" s="9" t="s">
        <v>28</v>
      </c>
      <c r="N32" s="12" t="s">
        <v>197</v>
      </c>
      <c r="O32" s="9" t="s">
        <v>198</v>
      </c>
    </row>
    <row r="33" customFormat="false" ht="35.05" hidden="false" customHeight="false" outlineLevel="0" collapsed="false">
      <c r="A33" s="9" t="n">
        <v>29</v>
      </c>
      <c r="B33" s="9" t="s">
        <v>172</v>
      </c>
      <c r="C33" s="9" t="s">
        <v>199</v>
      </c>
      <c r="D33" s="10" t="n">
        <v>600</v>
      </c>
      <c r="E33" s="9" t="s">
        <v>200</v>
      </c>
      <c r="F33" s="11" t="s">
        <v>175</v>
      </c>
      <c r="G33" s="9" t="s">
        <v>201</v>
      </c>
      <c r="H33" s="9" t="s">
        <v>202</v>
      </c>
      <c r="I33" s="9" t="s">
        <v>194</v>
      </c>
      <c r="J33" s="9" t="s">
        <v>195</v>
      </c>
      <c r="K33" s="9" t="s">
        <v>196</v>
      </c>
      <c r="L33" s="9" t="s">
        <v>96</v>
      </c>
      <c r="M33" s="9" t="s">
        <v>28</v>
      </c>
      <c r="N33" s="12" t="s">
        <v>197</v>
      </c>
      <c r="O33" s="9" t="s">
        <v>203</v>
      </c>
    </row>
    <row r="34" customFormat="false" ht="35.05" hidden="false" customHeight="false" outlineLevel="0" collapsed="false">
      <c r="A34" s="9" t="n">
        <v>30</v>
      </c>
      <c r="B34" s="9" t="s">
        <v>172</v>
      </c>
      <c r="C34" s="9" t="s">
        <v>204</v>
      </c>
      <c r="D34" s="10" t="n">
        <v>3500</v>
      </c>
      <c r="E34" s="9" t="s">
        <v>205</v>
      </c>
      <c r="F34" s="11" t="s">
        <v>175</v>
      </c>
      <c r="G34" s="9" t="s">
        <v>201</v>
      </c>
      <c r="H34" s="9" t="s">
        <v>202</v>
      </c>
      <c r="I34" s="9" t="s">
        <v>194</v>
      </c>
      <c r="J34" s="9" t="s">
        <v>195</v>
      </c>
      <c r="K34" s="9" t="s">
        <v>196</v>
      </c>
      <c r="L34" s="9" t="s">
        <v>96</v>
      </c>
      <c r="M34" s="9" t="s">
        <v>28</v>
      </c>
      <c r="N34" s="12" t="s">
        <v>197</v>
      </c>
      <c r="O34" s="9" t="s">
        <v>206</v>
      </c>
    </row>
    <row r="35" customFormat="false" ht="35.05" hidden="false" customHeight="false" outlineLevel="0" collapsed="false">
      <c r="A35" s="9" t="n">
        <v>31</v>
      </c>
      <c r="B35" s="9" t="s">
        <v>172</v>
      </c>
      <c r="C35" s="9" t="s">
        <v>207</v>
      </c>
      <c r="D35" s="10" t="n">
        <v>37</v>
      </c>
      <c r="E35" s="9" t="s">
        <v>81</v>
      </c>
      <c r="F35" s="11" t="s">
        <v>175</v>
      </c>
      <c r="G35" s="9" t="s">
        <v>201</v>
      </c>
      <c r="H35" s="9"/>
      <c r="I35" s="9" t="s">
        <v>194</v>
      </c>
      <c r="J35" s="9" t="s">
        <v>195</v>
      </c>
      <c r="K35" s="9" t="s">
        <v>196</v>
      </c>
      <c r="L35" s="9" t="s">
        <v>96</v>
      </c>
      <c r="M35" s="9" t="s">
        <v>28</v>
      </c>
      <c r="N35" s="12" t="s">
        <v>197</v>
      </c>
      <c r="O35" s="9"/>
    </row>
    <row r="36" customFormat="false" ht="46.25" hidden="false" customHeight="false" outlineLevel="0" collapsed="false">
      <c r="A36" s="9" t="n">
        <v>32</v>
      </c>
      <c r="B36" s="9" t="s">
        <v>172</v>
      </c>
      <c r="C36" s="9" t="s">
        <v>208</v>
      </c>
      <c r="D36" s="14" t="n">
        <v>1.1</v>
      </c>
      <c r="E36" s="9" t="s">
        <v>174</v>
      </c>
      <c r="F36" s="11" t="s">
        <v>209</v>
      </c>
      <c r="G36" s="9" t="s">
        <v>59</v>
      </c>
      <c r="H36" s="9" t="s">
        <v>210</v>
      </c>
      <c r="I36" s="9" t="s">
        <v>107</v>
      </c>
      <c r="J36" s="9" t="s">
        <v>108</v>
      </c>
      <c r="K36" s="9" t="s">
        <v>109</v>
      </c>
      <c r="L36" s="9" t="s">
        <v>96</v>
      </c>
      <c r="M36" s="9" t="s">
        <v>28</v>
      </c>
      <c r="N36" s="12" t="s">
        <v>110</v>
      </c>
      <c r="O36" s="9" t="s">
        <v>211</v>
      </c>
    </row>
    <row r="37" customFormat="false" ht="46.25" hidden="false" customHeight="false" outlineLevel="0" collapsed="false">
      <c r="A37" s="9" t="n">
        <v>33</v>
      </c>
      <c r="B37" s="9" t="s">
        <v>172</v>
      </c>
      <c r="C37" s="9" t="s">
        <v>212</v>
      </c>
      <c r="D37" s="14" t="n">
        <v>1.6</v>
      </c>
      <c r="E37" s="9" t="s">
        <v>174</v>
      </c>
      <c r="F37" s="11" t="s">
        <v>209</v>
      </c>
      <c r="G37" s="9" t="s">
        <v>59</v>
      </c>
      <c r="H37" s="9" t="s">
        <v>213</v>
      </c>
      <c r="I37" s="9" t="s">
        <v>107</v>
      </c>
      <c r="J37" s="9" t="s">
        <v>108</v>
      </c>
      <c r="K37" s="9" t="s">
        <v>109</v>
      </c>
      <c r="L37" s="9" t="s">
        <v>96</v>
      </c>
      <c r="M37" s="9" t="s">
        <v>28</v>
      </c>
      <c r="N37" s="12" t="s">
        <v>110</v>
      </c>
      <c r="O37" s="9"/>
    </row>
    <row r="38" customFormat="false" ht="46.25" hidden="false" customHeight="false" outlineLevel="0" collapsed="false">
      <c r="A38" s="9" t="n">
        <v>34</v>
      </c>
      <c r="B38" s="9" t="s">
        <v>172</v>
      </c>
      <c r="C38" s="9" t="s">
        <v>214</v>
      </c>
      <c r="D38" s="14" t="n">
        <v>1.9</v>
      </c>
      <c r="E38" s="9" t="s">
        <v>174</v>
      </c>
      <c r="F38" s="11" t="s">
        <v>209</v>
      </c>
      <c r="G38" s="9" t="s">
        <v>59</v>
      </c>
      <c r="H38" s="9" t="s">
        <v>154</v>
      </c>
      <c r="I38" s="9" t="s">
        <v>107</v>
      </c>
      <c r="J38" s="9" t="s">
        <v>108</v>
      </c>
      <c r="K38" s="9" t="s">
        <v>109</v>
      </c>
      <c r="L38" s="9" t="s">
        <v>96</v>
      </c>
      <c r="M38" s="9" t="s">
        <v>28</v>
      </c>
      <c r="N38" s="12" t="s">
        <v>110</v>
      </c>
      <c r="O38" s="9"/>
    </row>
    <row r="39" customFormat="false" ht="46.25" hidden="false" customHeight="false" outlineLevel="0" collapsed="false">
      <c r="A39" s="9" t="n">
        <v>35</v>
      </c>
      <c r="B39" s="9" t="s">
        <v>172</v>
      </c>
      <c r="C39" s="9" t="s">
        <v>215</v>
      </c>
      <c r="D39" s="10" t="n">
        <v>40</v>
      </c>
      <c r="E39" s="9" t="s">
        <v>81</v>
      </c>
      <c r="F39" s="11" t="s">
        <v>209</v>
      </c>
      <c r="G39" s="9" t="s">
        <v>59</v>
      </c>
      <c r="H39" s="9" t="s">
        <v>216</v>
      </c>
      <c r="I39" s="9" t="s">
        <v>107</v>
      </c>
      <c r="J39" s="9" t="s">
        <v>108</v>
      </c>
      <c r="K39" s="9" t="s">
        <v>109</v>
      </c>
      <c r="L39" s="9" t="s">
        <v>96</v>
      </c>
      <c r="M39" s="9" t="s">
        <v>28</v>
      </c>
      <c r="N39" s="12" t="s">
        <v>110</v>
      </c>
      <c r="O39" s="9"/>
    </row>
    <row r="40" customFormat="false" ht="46.25" hidden="false" customHeight="false" outlineLevel="0" collapsed="false">
      <c r="A40" s="9" t="n">
        <v>36</v>
      </c>
      <c r="B40" s="9" t="s">
        <v>172</v>
      </c>
      <c r="C40" s="9" t="s">
        <v>217</v>
      </c>
      <c r="D40" s="14" t="n">
        <v>-2.2</v>
      </c>
      <c r="E40" s="9" t="s">
        <v>174</v>
      </c>
      <c r="F40" s="11" t="s">
        <v>209</v>
      </c>
      <c r="G40" s="9" t="s">
        <v>59</v>
      </c>
      <c r="H40" s="9" t="s">
        <v>218</v>
      </c>
      <c r="I40" s="9" t="s">
        <v>107</v>
      </c>
      <c r="J40" s="9" t="s">
        <v>108</v>
      </c>
      <c r="K40" s="9" t="s">
        <v>109</v>
      </c>
      <c r="L40" s="9" t="s">
        <v>96</v>
      </c>
      <c r="M40" s="9" t="s">
        <v>28</v>
      </c>
      <c r="N40" s="12" t="s">
        <v>110</v>
      </c>
      <c r="O40" s="9" t="s">
        <v>219</v>
      </c>
    </row>
    <row r="41" customFormat="false" ht="35.05" hidden="false" customHeight="false" outlineLevel="0" collapsed="false">
      <c r="A41" s="9" t="n">
        <v>37</v>
      </c>
      <c r="B41" s="9" t="s">
        <v>172</v>
      </c>
      <c r="C41" s="9" t="s">
        <v>220</v>
      </c>
      <c r="D41" s="10" t="n">
        <v>700000</v>
      </c>
      <c r="E41" s="9" t="s">
        <v>221</v>
      </c>
      <c r="F41" s="11" t="s">
        <v>222</v>
      </c>
      <c r="G41" s="9" t="s">
        <v>59</v>
      </c>
      <c r="H41" s="9" t="s">
        <v>223</v>
      </c>
      <c r="I41" s="9" t="s">
        <v>224</v>
      </c>
      <c r="J41" s="9" t="s">
        <v>225</v>
      </c>
      <c r="K41" s="9" t="s">
        <v>226</v>
      </c>
      <c r="L41" s="9" t="s">
        <v>162</v>
      </c>
      <c r="M41" s="9" t="s">
        <v>32</v>
      </c>
      <c r="N41" s="12" t="s">
        <v>227</v>
      </c>
      <c r="O41" s="9" t="s">
        <v>228</v>
      </c>
    </row>
    <row r="42" customFormat="false" ht="35.05" hidden="false" customHeight="false" outlineLevel="0" collapsed="false">
      <c r="A42" s="9" t="n">
        <v>38</v>
      </c>
      <c r="B42" s="9" t="s">
        <v>172</v>
      </c>
      <c r="C42" s="9" t="s">
        <v>229</v>
      </c>
      <c r="D42" s="10" t="n">
        <v>430000</v>
      </c>
      <c r="E42" s="9" t="s">
        <v>230</v>
      </c>
      <c r="F42" s="11" t="s">
        <v>231</v>
      </c>
      <c r="G42" s="9" t="s">
        <v>59</v>
      </c>
      <c r="H42" s="9" t="s">
        <v>232</v>
      </c>
      <c r="I42" s="9" t="s">
        <v>233</v>
      </c>
      <c r="J42" s="9" t="s">
        <v>234</v>
      </c>
      <c r="K42" s="9" t="s">
        <v>235</v>
      </c>
      <c r="L42" s="9" t="s">
        <v>236</v>
      </c>
      <c r="M42" s="9" t="s">
        <v>28</v>
      </c>
      <c r="N42" s="12" t="s">
        <v>237</v>
      </c>
      <c r="O42" s="9"/>
    </row>
    <row r="43" customFormat="false" ht="35.05" hidden="false" customHeight="false" outlineLevel="0" collapsed="false">
      <c r="A43" s="9" t="n">
        <v>39</v>
      </c>
      <c r="B43" s="9" t="s">
        <v>238</v>
      </c>
      <c r="C43" s="9" t="s">
        <v>239</v>
      </c>
      <c r="D43" s="10" t="n">
        <v>6</v>
      </c>
      <c r="E43" s="9" t="s">
        <v>81</v>
      </c>
      <c r="F43" s="11" t="s">
        <v>240</v>
      </c>
      <c r="G43" s="9" t="s">
        <v>241</v>
      </c>
      <c r="H43" s="9" t="s">
        <v>242</v>
      </c>
      <c r="I43" s="9" t="s">
        <v>243</v>
      </c>
      <c r="J43" s="9" t="s">
        <v>244</v>
      </c>
      <c r="K43" s="9" t="s">
        <v>105</v>
      </c>
      <c r="L43" s="9" t="s">
        <v>169</v>
      </c>
      <c r="M43" s="9" t="s">
        <v>32</v>
      </c>
      <c r="N43" s="12" t="s">
        <v>245</v>
      </c>
      <c r="O43" s="9" t="s">
        <v>246</v>
      </c>
    </row>
    <row r="44" customFormat="false" ht="35.05" hidden="false" customHeight="false" outlineLevel="0" collapsed="false">
      <c r="A44" s="9" t="n">
        <v>40</v>
      </c>
      <c r="B44" s="9" t="s">
        <v>238</v>
      </c>
      <c r="C44" s="9" t="s">
        <v>239</v>
      </c>
      <c r="D44" s="10" t="n">
        <v>10</v>
      </c>
      <c r="E44" s="9" t="s">
        <v>128</v>
      </c>
      <c r="F44" s="11" t="s">
        <v>90</v>
      </c>
      <c r="G44" s="9" t="s">
        <v>241</v>
      </c>
      <c r="H44" s="9" t="s">
        <v>247</v>
      </c>
      <c r="I44" s="9" t="s">
        <v>243</v>
      </c>
      <c r="J44" s="9" t="s">
        <v>244</v>
      </c>
      <c r="K44" s="9" t="s">
        <v>105</v>
      </c>
      <c r="L44" s="9" t="s">
        <v>169</v>
      </c>
      <c r="M44" s="9" t="s">
        <v>32</v>
      </c>
      <c r="N44" s="12" t="s">
        <v>245</v>
      </c>
      <c r="O44" s="9"/>
    </row>
    <row r="45" customFormat="false" ht="35.05" hidden="false" customHeight="false" outlineLevel="0" collapsed="false">
      <c r="A45" s="9" t="n">
        <v>41</v>
      </c>
      <c r="B45" s="9" t="s">
        <v>238</v>
      </c>
      <c r="C45" s="9" t="s">
        <v>248</v>
      </c>
      <c r="D45" s="10" t="n">
        <v>87</v>
      </c>
      <c r="E45" s="9" t="s">
        <v>81</v>
      </c>
      <c r="F45" s="11" t="s">
        <v>249</v>
      </c>
      <c r="G45" s="9" t="s">
        <v>250</v>
      </c>
      <c r="H45" s="9" t="s">
        <v>251</v>
      </c>
      <c r="I45" s="9" t="s">
        <v>252</v>
      </c>
      <c r="J45" s="9" t="s">
        <v>253</v>
      </c>
      <c r="K45" s="9" t="s">
        <v>254</v>
      </c>
      <c r="L45" s="9" t="s">
        <v>162</v>
      </c>
      <c r="M45" s="9" t="s">
        <v>32</v>
      </c>
      <c r="N45" s="12" t="s">
        <v>143</v>
      </c>
      <c r="O45" s="9" t="s">
        <v>255</v>
      </c>
    </row>
    <row r="46" customFormat="false" ht="35.05" hidden="false" customHeight="false" outlineLevel="0" collapsed="false">
      <c r="A46" s="9" t="n">
        <v>42</v>
      </c>
      <c r="B46" s="9" t="s">
        <v>238</v>
      </c>
      <c r="C46" s="9" t="s">
        <v>239</v>
      </c>
      <c r="D46" s="14" t="n">
        <v>11.3</v>
      </c>
      <c r="E46" s="9" t="s">
        <v>81</v>
      </c>
      <c r="F46" s="11" t="s">
        <v>254</v>
      </c>
      <c r="G46" s="9" t="s">
        <v>256</v>
      </c>
      <c r="H46" s="9" t="s">
        <v>257</v>
      </c>
      <c r="I46" s="9" t="s">
        <v>258</v>
      </c>
      <c r="J46" s="9" t="s">
        <v>259</v>
      </c>
      <c r="K46" s="9" t="s">
        <v>82</v>
      </c>
      <c r="L46" s="9" t="s">
        <v>169</v>
      </c>
      <c r="M46" s="9" t="s">
        <v>32</v>
      </c>
      <c r="N46" s="12" t="s">
        <v>260</v>
      </c>
      <c r="O46" s="9"/>
    </row>
    <row r="47" customFormat="false" ht="46.25" hidden="false" customHeight="false" outlineLevel="0" collapsed="false">
      <c r="A47" s="9" t="n">
        <v>43</v>
      </c>
      <c r="B47" s="9" t="s">
        <v>238</v>
      </c>
      <c r="C47" s="9" t="s">
        <v>261</v>
      </c>
      <c r="D47" s="10" t="n">
        <v>13</v>
      </c>
      <c r="E47" s="9" t="s">
        <v>81</v>
      </c>
      <c r="F47" s="11" t="s">
        <v>138</v>
      </c>
      <c r="G47" s="9" t="s">
        <v>262</v>
      </c>
      <c r="H47" s="9" t="s">
        <v>263</v>
      </c>
      <c r="I47" s="9" t="s">
        <v>160</v>
      </c>
      <c r="J47" s="9" t="s">
        <v>161</v>
      </c>
      <c r="K47" s="9" t="s">
        <v>105</v>
      </c>
      <c r="L47" s="9" t="s">
        <v>162</v>
      </c>
      <c r="M47" s="9" t="s">
        <v>30</v>
      </c>
      <c r="N47" s="12" t="s">
        <v>163</v>
      </c>
      <c r="O47" s="9"/>
    </row>
    <row r="48" customFormat="false" ht="23.85" hidden="false" customHeight="false" outlineLevel="0" collapsed="false">
      <c r="A48" s="9" t="n">
        <v>44</v>
      </c>
      <c r="B48" s="9" t="s">
        <v>238</v>
      </c>
      <c r="C48" s="9" t="s">
        <v>264</v>
      </c>
      <c r="D48" s="14" t="n">
        <v>10.64</v>
      </c>
      <c r="E48" s="9" t="s">
        <v>81</v>
      </c>
      <c r="F48" s="11" t="s">
        <v>146</v>
      </c>
      <c r="G48" s="9" t="s">
        <v>59</v>
      </c>
      <c r="H48" s="9" t="s">
        <v>265</v>
      </c>
      <c r="I48" s="9" t="s">
        <v>131</v>
      </c>
      <c r="J48" s="9" t="s">
        <v>132</v>
      </c>
      <c r="K48" s="9" t="s">
        <v>133</v>
      </c>
      <c r="L48" s="9" t="s">
        <v>134</v>
      </c>
      <c r="M48" s="9" t="s">
        <v>28</v>
      </c>
      <c r="N48" s="12" t="s">
        <v>135</v>
      </c>
      <c r="O48" s="9" t="s">
        <v>266</v>
      </c>
    </row>
    <row r="49" customFormat="false" ht="15" hidden="false" customHeight="false" outlineLevel="0" collapsed="false">
      <c r="A49" s="9" t="n">
        <v>45</v>
      </c>
      <c r="B49" s="9" t="s">
        <v>238</v>
      </c>
      <c r="C49" s="9" t="s">
        <v>267</v>
      </c>
      <c r="D49" s="14" t="n">
        <v>10.85</v>
      </c>
      <c r="E49" s="9" t="s">
        <v>81</v>
      </c>
      <c r="F49" s="11" t="s">
        <v>146</v>
      </c>
      <c r="G49" s="9" t="s">
        <v>59</v>
      </c>
      <c r="H49" s="9" t="s">
        <v>268</v>
      </c>
      <c r="I49" s="9" t="s">
        <v>131</v>
      </c>
      <c r="J49" s="9" t="s">
        <v>132</v>
      </c>
      <c r="K49" s="9" t="s">
        <v>133</v>
      </c>
      <c r="L49" s="9" t="s">
        <v>134</v>
      </c>
      <c r="M49" s="9" t="s">
        <v>28</v>
      </c>
      <c r="N49" s="12" t="s">
        <v>135</v>
      </c>
      <c r="O49" s="9" t="s">
        <v>269</v>
      </c>
    </row>
    <row r="50" customFormat="false" ht="23.85" hidden="false" customHeight="false" outlineLevel="0" collapsed="false">
      <c r="A50" s="9" t="n">
        <v>46</v>
      </c>
      <c r="B50" s="9" t="s">
        <v>238</v>
      </c>
      <c r="C50" s="9" t="s">
        <v>270</v>
      </c>
      <c r="D50" s="14" t="n">
        <v>11.7</v>
      </c>
      <c r="E50" s="9" t="s">
        <v>81</v>
      </c>
      <c r="F50" s="11" t="s">
        <v>271</v>
      </c>
      <c r="G50" s="9" t="s">
        <v>59</v>
      </c>
      <c r="H50" s="9" t="s">
        <v>272</v>
      </c>
      <c r="I50" s="9" t="s">
        <v>273</v>
      </c>
      <c r="J50" s="9" t="s">
        <v>274</v>
      </c>
      <c r="K50" s="9" t="s">
        <v>275</v>
      </c>
      <c r="L50" s="9" t="s">
        <v>134</v>
      </c>
      <c r="M50" s="9" t="s">
        <v>36</v>
      </c>
      <c r="N50" s="12" t="s">
        <v>276</v>
      </c>
      <c r="O50" s="9"/>
    </row>
    <row r="51" customFormat="false" ht="46.25" hidden="false" customHeight="false" outlineLevel="0" collapsed="false">
      <c r="A51" s="9" t="n">
        <v>47</v>
      </c>
      <c r="B51" s="9" t="s">
        <v>238</v>
      </c>
      <c r="C51" s="9" t="s">
        <v>239</v>
      </c>
      <c r="D51" s="10" t="n">
        <v>11</v>
      </c>
      <c r="E51" s="9" t="s">
        <v>81</v>
      </c>
      <c r="F51" s="11" t="s">
        <v>277</v>
      </c>
      <c r="G51" s="9" t="s">
        <v>59</v>
      </c>
      <c r="H51" s="9" t="s">
        <v>278</v>
      </c>
      <c r="I51" s="9" t="s">
        <v>120</v>
      </c>
      <c r="J51" s="9" t="s">
        <v>121</v>
      </c>
      <c r="K51" s="9" t="s">
        <v>122</v>
      </c>
      <c r="L51" s="9" t="s">
        <v>64</v>
      </c>
      <c r="M51" s="9" t="s">
        <v>28</v>
      </c>
      <c r="N51" s="12" t="s">
        <v>123</v>
      </c>
      <c r="O51" s="9"/>
    </row>
    <row r="52" customFormat="false" ht="46.25" hidden="false" customHeight="false" outlineLevel="0" collapsed="false">
      <c r="A52" s="9" t="n">
        <v>48</v>
      </c>
      <c r="B52" s="9" t="s">
        <v>238</v>
      </c>
      <c r="C52" s="9" t="s">
        <v>279</v>
      </c>
      <c r="D52" s="10" t="n">
        <v>14</v>
      </c>
      <c r="E52" s="9" t="s">
        <v>81</v>
      </c>
      <c r="F52" s="11" t="s">
        <v>146</v>
      </c>
      <c r="G52" s="9" t="s">
        <v>59</v>
      </c>
      <c r="H52" s="9" t="s">
        <v>280</v>
      </c>
      <c r="I52" s="9" t="s">
        <v>281</v>
      </c>
      <c r="J52" s="9" t="s">
        <v>282</v>
      </c>
      <c r="K52" s="9" t="s">
        <v>283</v>
      </c>
      <c r="L52" s="9" t="s">
        <v>162</v>
      </c>
      <c r="M52" s="9" t="s">
        <v>32</v>
      </c>
      <c r="N52" s="12" t="s">
        <v>284</v>
      </c>
      <c r="O52" s="9" t="s">
        <v>285</v>
      </c>
    </row>
    <row r="53" customFormat="false" ht="35.05" hidden="false" customHeight="false" outlineLevel="0" collapsed="false">
      <c r="A53" s="9" t="n">
        <v>49</v>
      </c>
      <c r="B53" s="9" t="s">
        <v>238</v>
      </c>
      <c r="C53" s="9" t="s">
        <v>286</v>
      </c>
      <c r="D53" s="13" t="s">
        <v>287</v>
      </c>
      <c r="E53" s="9" t="s">
        <v>288</v>
      </c>
      <c r="F53" s="11" t="s">
        <v>271</v>
      </c>
      <c r="G53" s="9" t="s">
        <v>59</v>
      </c>
      <c r="H53" s="9" t="s">
        <v>289</v>
      </c>
      <c r="I53" s="9" t="s">
        <v>290</v>
      </c>
      <c r="J53" s="9" t="s">
        <v>291</v>
      </c>
      <c r="K53" s="9" t="s">
        <v>292</v>
      </c>
      <c r="L53" s="9" t="s">
        <v>64</v>
      </c>
      <c r="M53" s="9" t="s">
        <v>30</v>
      </c>
      <c r="N53" s="12" t="s">
        <v>293</v>
      </c>
      <c r="O53" s="9"/>
    </row>
    <row r="54" customFormat="false" ht="35.05" hidden="false" customHeight="false" outlineLevel="0" collapsed="false">
      <c r="A54" s="9" t="n">
        <v>50</v>
      </c>
      <c r="B54" s="9" t="s">
        <v>238</v>
      </c>
      <c r="C54" s="9" t="s">
        <v>294</v>
      </c>
      <c r="D54" s="14" t="n">
        <v>13.4</v>
      </c>
      <c r="E54" s="9" t="s">
        <v>81</v>
      </c>
      <c r="F54" s="11" t="s">
        <v>146</v>
      </c>
      <c r="G54" s="9" t="s">
        <v>262</v>
      </c>
      <c r="H54" s="9" t="s">
        <v>295</v>
      </c>
      <c r="I54" s="9" t="s">
        <v>296</v>
      </c>
      <c r="J54" s="9" t="s">
        <v>297</v>
      </c>
      <c r="K54" s="9" t="s">
        <v>298</v>
      </c>
      <c r="L54" s="9" t="s">
        <v>169</v>
      </c>
      <c r="M54" s="9" t="s">
        <v>32</v>
      </c>
      <c r="N54" s="12" t="s">
        <v>299</v>
      </c>
      <c r="O54" s="9"/>
    </row>
    <row r="55" customFormat="false" ht="35.05" hidden="false" customHeight="false" outlineLevel="0" collapsed="false">
      <c r="A55" s="9" t="n">
        <v>51</v>
      </c>
      <c r="B55" s="9" t="s">
        <v>238</v>
      </c>
      <c r="C55" s="9" t="s">
        <v>300</v>
      </c>
      <c r="D55" s="14" t="n">
        <v>9.67</v>
      </c>
      <c r="E55" s="9" t="s">
        <v>81</v>
      </c>
      <c r="F55" s="11" t="s">
        <v>146</v>
      </c>
      <c r="G55" s="9" t="s">
        <v>59</v>
      </c>
      <c r="H55" s="9" t="s">
        <v>301</v>
      </c>
      <c r="I55" s="9" t="s">
        <v>296</v>
      </c>
      <c r="J55" s="9" t="s">
        <v>297</v>
      </c>
      <c r="K55" s="9" t="s">
        <v>298</v>
      </c>
      <c r="L55" s="9" t="s">
        <v>169</v>
      </c>
      <c r="M55" s="9" t="s">
        <v>32</v>
      </c>
      <c r="N55" s="12" t="s">
        <v>299</v>
      </c>
      <c r="O55" s="9"/>
    </row>
    <row r="56" customFormat="false" ht="35.05" hidden="false" customHeight="false" outlineLevel="0" collapsed="false">
      <c r="A56" s="9" t="n">
        <v>52</v>
      </c>
      <c r="B56" s="9" t="s">
        <v>238</v>
      </c>
      <c r="C56" s="9" t="s">
        <v>294</v>
      </c>
      <c r="D56" s="14" t="n">
        <v>12.5</v>
      </c>
      <c r="E56" s="9" t="s">
        <v>81</v>
      </c>
      <c r="F56" s="11" t="s">
        <v>105</v>
      </c>
      <c r="G56" s="9" t="s">
        <v>262</v>
      </c>
      <c r="H56" s="9" t="s">
        <v>302</v>
      </c>
      <c r="I56" s="9" t="s">
        <v>303</v>
      </c>
      <c r="J56" s="9" t="s">
        <v>304</v>
      </c>
      <c r="K56" s="9" t="s">
        <v>305</v>
      </c>
      <c r="L56" s="9" t="s">
        <v>134</v>
      </c>
      <c r="M56" s="9" t="s">
        <v>32</v>
      </c>
      <c r="N56" s="12" t="s">
        <v>306</v>
      </c>
      <c r="O56" s="9" t="s">
        <v>307</v>
      </c>
    </row>
    <row r="57" customFormat="false" ht="35.05" hidden="false" customHeight="false" outlineLevel="0" collapsed="false">
      <c r="A57" s="9" t="n">
        <v>53</v>
      </c>
      <c r="B57" s="9" t="s">
        <v>238</v>
      </c>
      <c r="C57" s="9" t="s">
        <v>308</v>
      </c>
      <c r="D57" s="14" t="n">
        <v>28.8</v>
      </c>
      <c r="E57" s="9" t="s">
        <v>81</v>
      </c>
      <c r="F57" s="11" t="s">
        <v>309</v>
      </c>
      <c r="G57" s="9" t="s">
        <v>310</v>
      </c>
      <c r="H57" s="9" t="s">
        <v>311</v>
      </c>
      <c r="I57" s="9" t="s">
        <v>303</v>
      </c>
      <c r="J57" s="9" t="s">
        <v>304</v>
      </c>
      <c r="K57" s="9" t="s">
        <v>305</v>
      </c>
      <c r="L57" s="9" t="s">
        <v>134</v>
      </c>
      <c r="M57" s="9" t="s">
        <v>32</v>
      </c>
      <c r="N57" s="12" t="s">
        <v>306</v>
      </c>
      <c r="O57" s="9"/>
    </row>
    <row r="58" customFormat="false" ht="35.05" hidden="false" customHeight="false" outlineLevel="0" collapsed="false">
      <c r="A58" s="9" t="n">
        <v>54</v>
      </c>
      <c r="B58" s="9" t="s">
        <v>238</v>
      </c>
      <c r="C58" s="9" t="s">
        <v>312</v>
      </c>
      <c r="D58" s="14" t="n">
        <v>21.5</v>
      </c>
      <c r="E58" s="9" t="s">
        <v>313</v>
      </c>
      <c r="F58" s="11" t="s">
        <v>309</v>
      </c>
      <c r="G58" s="9" t="s">
        <v>314</v>
      </c>
      <c r="H58" s="9" t="s">
        <v>315</v>
      </c>
      <c r="I58" s="9" t="s">
        <v>303</v>
      </c>
      <c r="J58" s="9" t="s">
        <v>304</v>
      </c>
      <c r="K58" s="9" t="s">
        <v>305</v>
      </c>
      <c r="L58" s="9" t="s">
        <v>134</v>
      </c>
      <c r="M58" s="9" t="s">
        <v>32</v>
      </c>
      <c r="N58" s="12" t="s">
        <v>306</v>
      </c>
      <c r="O58" s="9"/>
    </row>
    <row r="59" customFormat="false" ht="35.05" hidden="false" customHeight="false" outlineLevel="0" collapsed="false">
      <c r="A59" s="9" t="n">
        <v>55</v>
      </c>
      <c r="B59" s="9" t="s">
        <v>238</v>
      </c>
      <c r="C59" s="9" t="s">
        <v>316</v>
      </c>
      <c r="D59" s="14" t="n">
        <v>21.3</v>
      </c>
      <c r="E59" s="9" t="s">
        <v>81</v>
      </c>
      <c r="F59" s="11" t="s">
        <v>309</v>
      </c>
      <c r="G59" s="9" t="s">
        <v>317</v>
      </c>
      <c r="H59" s="9" t="s">
        <v>318</v>
      </c>
      <c r="I59" s="9" t="s">
        <v>303</v>
      </c>
      <c r="J59" s="9" t="s">
        <v>304</v>
      </c>
      <c r="K59" s="9" t="s">
        <v>305</v>
      </c>
      <c r="L59" s="9" t="s">
        <v>134</v>
      </c>
      <c r="M59" s="9" t="s">
        <v>32</v>
      </c>
      <c r="N59" s="12" t="s">
        <v>306</v>
      </c>
      <c r="O59" s="9"/>
    </row>
    <row r="60" customFormat="false" ht="35.05" hidden="false" customHeight="false" outlineLevel="0" collapsed="false">
      <c r="A60" s="9" t="n">
        <v>56</v>
      </c>
      <c r="B60" s="9" t="s">
        <v>238</v>
      </c>
      <c r="C60" s="9" t="s">
        <v>319</v>
      </c>
      <c r="D60" s="14" t="n">
        <v>8.3</v>
      </c>
      <c r="E60" s="9" t="s">
        <v>81</v>
      </c>
      <c r="F60" s="11" t="s">
        <v>320</v>
      </c>
      <c r="G60" s="9" t="s">
        <v>321</v>
      </c>
      <c r="H60" s="9" t="s">
        <v>322</v>
      </c>
      <c r="I60" s="9" t="s">
        <v>323</v>
      </c>
      <c r="J60" s="9" t="s">
        <v>324</v>
      </c>
      <c r="K60" s="9" t="s">
        <v>325</v>
      </c>
      <c r="L60" s="9" t="s">
        <v>169</v>
      </c>
      <c r="M60" s="9" t="s">
        <v>32</v>
      </c>
      <c r="N60" s="12" t="s">
        <v>326</v>
      </c>
      <c r="O60" s="9"/>
    </row>
    <row r="61" customFormat="false" ht="35.05" hidden="false" customHeight="false" outlineLevel="0" collapsed="false">
      <c r="A61" s="9" t="n">
        <v>57</v>
      </c>
      <c r="B61" s="9" t="s">
        <v>238</v>
      </c>
      <c r="C61" s="9" t="s">
        <v>327</v>
      </c>
      <c r="D61" s="10" t="n">
        <v>11</v>
      </c>
      <c r="E61" s="9" t="s">
        <v>328</v>
      </c>
      <c r="F61" s="11" t="s">
        <v>320</v>
      </c>
      <c r="G61" s="9" t="s">
        <v>329</v>
      </c>
      <c r="H61" s="9" t="s">
        <v>330</v>
      </c>
      <c r="I61" s="9" t="s">
        <v>323</v>
      </c>
      <c r="J61" s="9" t="s">
        <v>324</v>
      </c>
      <c r="K61" s="9" t="s">
        <v>325</v>
      </c>
      <c r="L61" s="9" t="s">
        <v>169</v>
      </c>
      <c r="M61" s="9" t="s">
        <v>32</v>
      </c>
      <c r="N61" s="12" t="s">
        <v>326</v>
      </c>
      <c r="O61" s="9"/>
    </row>
    <row r="62" customFormat="false" ht="35.05" hidden="false" customHeight="false" outlineLevel="0" collapsed="false">
      <c r="A62" s="9" t="n">
        <v>58</v>
      </c>
      <c r="B62" s="9" t="s">
        <v>238</v>
      </c>
      <c r="C62" s="9" t="s">
        <v>331</v>
      </c>
      <c r="D62" s="14" t="n">
        <v>12.6</v>
      </c>
      <c r="E62" s="9" t="s">
        <v>81</v>
      </c>
      <c r="F62" s="11" t="s">
        <v>105</v>
      </c>
      <c r="G62" s="9" t="s">
        <v>332</v>
      </c>
      <c r="H62" s="9" t="s">
        <v>333</v>
      </c>
      <c r="I62" s="9" t="s">
        <v>323</v>
      </c>
      <c r="J62" s="9" t="s">
        <v>324</v>
      </c>
      <c r="K62" s="9" t="s">
        <v>325</v>
      </c>
      <c r="L62" s="9" t="s">
        <v>169</v>
      </c>
      <c r="M62" s="9" t="s">
        <v>32</v>
      </c>
      <c r="N62" s="12" t="s">
        <v>326</v>
      </c>
      <c r="O62" s="9"/>
    </row>
    <row r="63" customFormat="false" ht="35.05" hidden="false" customHeight="false" outlineLevel="0" collapsed="false">
      <c r="A63" s="9" t="n">
        <v>59</v>
      </c>
      <c r="B63" s="9" t="s">
        <v>238</v>
      </c>
      <c r="C63" s="9" t="s">
        <v>334</v>
      </c>
      <c r="D63" s="10" t="n">
        <v>12</v>
      </c>
      <c r="E63" s="9" t="s">
        <v>81</v>
      </c>
      <c r="F63" s="11" t="s">
        <v>105</v>
      </c>
      <c r="G63" s="9" t="s">
        <v>335</v>
      </c>
      <c r="H63" s="9" t="s">
        <v>336</v>
      </c>
      <c r="I63" s="9" t="s">
        <v>323</v>
      </c>
      <c r="J63" s="9" t="s">
        <v>324</v>
      </c>
      <c r="K63" s="9" t="s">
        <v>325</v>
      </c>
      <c r="L63" s="9" t="s">
        <v>169</v>
      </c>
      <c r="M63" s="9" t="s">
        <v>32</v>
      </c>
      <c r="N63" s="12" t="s">
        <v>326</v>
      </c>
      <c r="O63" s="9"/>
    </row>
    <row r="64" customFormat="false" ht="15" hidden="false" customHeight="false" outlineLevel="0" collapsed="false">
      <c r="A64" s="9" t="n">
        <v>60</v>
      </c>
      <c r="B64" s="9" t="s">
        <v>238</v>
      </c>
      <c r="C64" s="9" t="s">
        <v>337</v>
      </c>
      <c r="D64" s="14" t="n">
        <v>12.46</v>
      </c>
      <c r="E64" s="9" t="s">
        <v>81</v>
      </c>
      <c r="F64" s="11" t="s">
        <v>146</v>
      </c>
      <c r="G64" s="9" t="s">
        <v>338</v>
      </c>
      <c r="H64" s="9" t="s">
        <v>339</v>
      </c>
      <c r="I64" s="9" t="s">
        <v>131</v>
      </c>
      <c r="J64" s="9" t="s">
        <v>132</v>
      </c>
      <c r="K64" s="9" t="s">
        <v>133</v>
      </c>
      <c r="L64" s="9" t="s">
        <v>134</v>
      </c>
      <c r="M64" s="9" t="s">
        <v>28</v>
      </c>
      <c r="N64" s="12" t="s">
        <v>135</v>
      </c>
      <c r="O64" s="9"/>
    </row>
    <row r="65" customFormat="false" ht="35.05" hidden="false" customHeight="false" outlineLevel="0" collapsed="false">
      <c r="A65" s="9" t="n">
        <v>61</v>
      </c>
      <c r="B65" s="9" t="s">
        <v>238</v>
      </c>
      <c r="C65" s="9" t="s">
        <v>239</v>
      </c>
      <c r="D65" s="14" t="n">
        <v>12.3</v>
      </c>
      <c r="E65" s="9" t="s">
        <v>81</v>
      </c>
      <c r="F65" s="11" t="s">
        <v>138</v>
      </c>
      <c r="G65" s="9" t="s">
        <v>340</v>
      </c>
      <c r="H65" s="9" t="s">
        <v>341</v>
      </c>
      <c r="I65" s="9" t="s">
        <v>224</v>
      </c>
      <c r="J65" s="9" t="s">
        <v>225</v>
      </c>
      <c r="K65" s="9" t="s">
        <v>226</v>
      </c>
      <c r="L65" s="9" t="s">
        <v>162</v>
      </c>
      <c r="M65" s="9" t="s">
        <v>32</v>
      </c>
      <c r="N65" s="12" t="s">
        <v>227</v>
      </c>
      <c r="O65" s="9" t="s">
        <v>342</v>
      </c>
    </row>
    <row r="66" customFormat="false" ht="35.05" hidden="false" customHeight="false" outlineLevel="0" collapsed="false">
      <c r="A66" s="9" t="n">
        <v>62</v>
      </c>
      <c r="B66" s="9" t="s">
        <v>238</v>
      </c>
      <c r="C66" s="9" t="s">
        <v>343</v>
      </c>
      <c r="D66" s="10" t="n">
        <v>40</v>
      </c>
      <c r="E66" s="9" t="s">
        <v>344</v>
      </c>
      <c r="F66" s="11" t="s">
        <v>345</v>
      </c>
      <c r="G66" s="9" t="s">
        <v>59</v>
      </c>
      <c r="H66" s="9"/>
      <c r="I66" s="9" t="s">
        <v>224</v>
      </c>
      <c r="J66" s="9" t="s">
        <v>225</v>
      </c>
      <c r="K66" s="9" t="s">
        <v>226</v>
      </c>
      <c r="L66" s="9" t="s">
        <v>162</v>
      </c>
      <c r="M66" s="9" t="s">
        <v>32</v>
      </c>
      <c r="N66" s="12" t="s">
        <v>227</v>
      </c>
      <c r="O66" s="9" t="s">
        <v>346</v>
      </c>
    </row>
    <row r="67" customFormat="false" ht="35.05" hidden="false" customHeight="false" outlineLevel="0" collapsed="false">
      <c r="A67" s="9" t="n">
        <v>63</v>
      </c>
      <c r="B67" s="9" t="s">
        <v>238</v>
      </c>
      <c r="C67" s="9" t="s">
        <v>347</v>
      </c>
      <c r="D67" s="14" t="n">
        <v>11.6</v>
      </c>
      <c r="E67" s="9" t="s">
        <v>81</v>
      </c>
      <c r="F67" s="11" t="s">
        <v>271</v>
      </c>
      <c r="G67" s="9" t="s">
        <v>59</v>
      </c>
      <c r="H67" s="9" t="s">
        <v>348</v>
      </c>
      <c r="I67" s="9" t="s">
        <v>349</v>
      </c>
      <c r="J67" s="9" t="s">
        <v>350</v>
      </c>
      <c r="K67" s="9" t="s">
        <v>275</v>
      </c>
      <c r="L67" s="9" t="s">
        <v>162</v>
      </c>
      <c r="M67" s="9" t="s">
        <v>34</v>
      </c>
      <c r="N67" s="12" t="s">
        <v>351</v>
      </c>
      <c r="O67" s="9" t="s">
        <v>352</v>
      </c>
    </row>
    <row r="68" customFormat="false" ht="23.85" hidden="false" customHeight="false" outlineLevel="0" collapsed="false">
      <c r="A68" s="9" t="n">
        <v>64</v>
      </c>
      <c r="B68" s="9" t="s">
        <v>353</v>
      </c>
      <c r="C68" s="9" t="s">
        <v>354</v>
      </c>
      <c r="D68" s="14" t="n">
        <v>-1.8</v>
      </c>
      <c r="E68" s="9" t="s">
        <v>355</v>
      </c>
      <c r="F68" s="11" t="s">
        <v>356</v>
      </c>
      <c r="G68" s="9" t="s">
        <v>59</v>
      </c>
      <c r="H68" s="9" t="s">
        <v>357</v>
      </c>
      <c r="I68" s="9" t="s">
        <v>131</v>
      </c>
      <c r="J68" s="9" t="s">
        <v>132</v>
      </c>
      <c r="K68" s="9" t="s">
        <v>133</v>
      </c>
      <c r="L68" s="9" t="s">
        <v>134</v>
      </c>
      <c r="M68" s="9" t="s">
        <v>28</v>
      </c>
      <c r="N68" s="12" t="s">
        <v>135</v>
      </c>
      <c r="O68" s="9" t="s">
        <v>358</v>
      </c>
    </row>
    <row r="69" customFormat="false" ht="15" hidden="false" customHeight="false" outlineLevel="0" collapsed="false">
      <c r="A69" s="9" t="n">
        <v>65</v>
      </c>
      <c r="B69" s="9" t="s">
        <v>353</v>
      </c>
      <c r="C69" s="9" t="s">
        <v>359</v>
      </c>
      <c r="D69" s="14" t="n">
        <v>-1.2</v>
      </c>
      <c r="E69" s="9" t="s">
        <v>355</v>
      </c>
      <c r="F69" s="11" t="s">
        <v>356</v>
      </c>
      <c r="G69" s="9" t="s">
        <v>59</v>
      </c>
      <c r="H69" s="9" t="s">
        <v>247</v>
      </c>
      <c r="I69" s="9" t="s">
        <v>131</v>
      </c>
      <c r="J69" s="9" t="s">
        <v>132</v>
      </c>
      <c r="K69" s="9" t="s">
        <v>133</v>
      </c>
      <c r="L69" s="9" t="s">
        <v>134</v>
      </c>
      <c r="M69" s="9" t="s">
        <v>28</v>
      </c>
      <c r="N69" s="12" t="s">
        <v>135</v>
      </c>
      <c r="O69" s="9"/>
    </row>
    <row r="70" customFormat="false" ht="15" hidden="false" customHeight="false" outlineLevel="0" collapsed="false">
      <c r="A70" s="9" t="n">
        <v>66</v>
      </c>
      <c r="B70" s="9" t="s">
        <v>353</v>
      </c>
      <c r="C70" s="9" t="s">
        <v>360</v>
      </c>
      <c r="D70" s="14" t="n">
        <v>-1.6</v>
      </c>
      <c r="E70" s="9" t="s">
        <v>355</v>
      </c>
      <c r="F70" s="11" t="s">
        <v>356</v>
      </c>
      <c r="G70" s="9" t="s">
        <v>59</v>
      </c>
      <c r="H70" s="9" t="s">
        <v>361</v>
      </c>
      <c r="I70" s="9" t="s">
        <v>131</v>
      </c>
      <c r="J70" s="9" t="s">
        <v>132</v>
      </c>
      <c r="K70" s="9" t="s">
        <v>133</v>
      </c>
      <c r="L70" s="9" t="s">
        <v>134</v>
      </c>
      <c r="M70" s="9" t="s">
        <v>28</v>
      </c>
      <c r="N70" s="12" t="s">
        <v>135</v>
      </c>
      <c r="O70" s="9"/>
    </row>
    <row r="71" customFormat="false" ht="35.05" hidden="false" customHeight="false" outlineLevel="0" collapsed="false">
      <c r="A71" s="9" t="n">
        <v>67</v>
      </c>
      <c r="B71" s="9" t="s">
        <v>353</v>
      </c>
      <c r="C71" s="9" t="s">
        <v>362</v>
      </c>
      <c r="D71" s="10" t="n">
        <v>17</v>
      </c>
      <c r="E71" s="9" t="s">
        <v>81</v>
      </c>
      <c r="F71" s="11" t="s">
        <v>363</v>
      </c>
      <c r="G71" s="9" t="s">
        <v>59</v>
      </c>
      <c r="H71" s="9" t="s">
        <v>364</v>
      </c>
      <c r="I71" s="9" t="s">
        <v>224</v>
      </c>
      <c r="J71" s="9" t="s">
        <v>225</v>
      </c>
      <c r="K71" s="9" t="s">
        <v>226</v>
      </c>
      <c r="L71" s="9" t="s">
        <v>162</v>
      </c>
      <c r="M71" s="9" t="s">
        <v>32</v>
      </c>
      <c r="N71" s="12" t="s">
        <v>227</v>
      </c>
      <c r="O71" s="9" t="s">
        <v>365</v>
      </c>
    </row>
    <row r="72" customFormat="false" ht="35.05" hidden="false" customHeight="false" outlineLevel="0" collapsed="false">
      <c r="A72" s="9" t="n">
        <v>68</v>
      </c>
      <c r="B72" s="9" t="s">
        <v>353</v>
      </c>
      <c r="C72" s="9" t="s">
        <v>362</v>
      </c>
      <c r="D72" s="10" t="n">
        <v>20</v>
      </c>
      <c r="E72" s="9" t="s">
        <v>81</v>
      </c>
      <c r="F72" s="11" t="s">
        <v>366</v>
      </c>
      <c r="G72" s="9" t="s">
        <v>59</v>
      </c>
      <c r="H72" s="9" t="s">
        <v>367</v>
      </c>
      <c r="I72" s="9" t="s">
        <v>224</v>
      </c>
      <c r="J72" s="9" t="s">
        <v>225</v>
      </c>
      <c r="K72" s="9" t="s">
        <v>226</v>
      </c>
      <c r="L72" s="9" t="s">
        <v>162</v>
      </c>
      <c r="M72" s="9" t="s">
        <v>32</v>
      </c>
      <c r="N72" s="12" t="s">
        <v>227</v>
      </c>
      <c r="O72" s="9" t="s">
        <v>368</v>
      </c>
    </row>
    <row r="73" customFormat="false" ht="35.05" hidden="false" customHeight="false" outlineLevel="0" collapsed="false">
      <c r="A73" s="9" t="n">
        <v>69</v>
      </c>
      <c r="B73" s="9" t="s">
        <v>353</v>
      </c>
      <c r="C73" s="9" t="s">
        <v>369</v>
      </c>
      <c r="D73" s="14" t="n">
        <v>12.5</v>
      </c>
      <c r="E73" s="9" t="s">
        <v>81</v>
      </c>
      <c r="F73" s="11" t="s">
        <v>105</v>
      </c>
      <c r="G73" s="9" t="s">
        <v>59</v>
      </c>
      <c r="H73" s="9" t="s">
        <v>370</v>
      </c>
      <c r="I73" s="9" t="s">
        <v>224</v>
      </c>
      <c r="J73" s="9" t="s">
        <v>225</v>
      </c>
      <c r="K73" s="9" t="s">
        <v>226</v>
      </c>
      <c r="L73" s="9" t="s">
        <v>162</v>
      </c>
      <c r="M73" s="9" t="s">
        <v>32</v>
      </c>
      <c r="N73" s="12" t="s">
        <v>227</v>
      </c>
      <c r="O73" s="9" t="s">
        <v>371</v>
      </c>
    </row>
    <row r="74" customFormat="false" ht="46.25" hidden="false" customHeight="false" outlineLevel="0" collapsed="false">
      <c r="A74" s="9" t="n">
        <v>70</v>
      </c>
      <c r="B74" s="9" t="s">
        <v>353</v>
      </c>
      <c r="C74" s="9" t="s">
        <v>372</v>
      </c>
      <c r="D74" s="13" t="s">
        <v>373</v>
      </c>
      <c r="E74" s="9" t="s">
        <v>81</v>
      </c>
      <c r="F74" s="11" t="s">
        <v>82</v>
      </c>
      <c r="G74" s="9" t="s">
        <v>374</v>
      </c>
      <c r="H74" s="9" t="s">
        <v>375</v>
      </c>
      <c r="I74" s="9" t="s">
        <v>160</v>
      </c>
      <c r="J74" s="9" t="s">
        <v>161</v>
      </c>
      <c r="K74" s="9" t="s">
        <v>105</v>
      </c>
      <c r="L74" s="9" t="s">
        <v>162</v>
      </c>
      <c r="M74" s="9" t="s">
        <v>30</v>
      </c>
      <c r="N74" s="12" t="s">
        <v>163</v>
      </c>
      <c r="O74" s="9"/>
    </row>
    <row r="75" customFormat="false" ht="23.85" hidden="false" customHeight="false" outlineLevel="0" collapsed="false">
      <c r="A75" s="9" t="n">
        <v>71</v>
      </c>
      <c r="B75" s="9" t="s">
        <v>353</v>
      </c>
      <c r="C75" s="9" t="s">
        <v>376</v>
      </c>
      <c r="D75" s="14" t="n">
        <v>15.05</v>
      </c>
      <c r="E75" s="9" t="s">
        <v>81</v>
      </c>
      <c r="F75" s="11" t="s">
        <v>146</v>
      </c>
      <c r="G75" s="9" t="s">
        <v>59</v>
      </c>
      <c r="H75" s="9" t="s">
        <v>377</v>
      </c>
      <c r="I75" s="9" t="s">
        <v>378</v>
      </c>
      <c r="J75" s="9" t="s">
        <v>379</v>
      </c>
      <c r="K75" s="9" t="s">
        <v>271</v>
      </c>
      <c r="L75" s="9" t="s">
        <v>169</v>
      </c>
      <c r="M75" s="9" t="s">
        <v>32</v>
      </c>
      <c r="N75" s="12" t="s">
        <v>276</v>
      </c>
      <c r="O75" s="9"/>
    </row>
    <row r="76" customFormat="false" ht="23.85" hidden="false" customHeight="false" outlineLevel="0" collapsed="false">
      <c r="A76" s="9" t="n">
        <v>72</v>
      </c>
      <c r="B76" s="9" t="s">
        <v>353</v>
      </c>
      <c r="C76" s="9" t="s">
        <v>380</v>
      </c>
      <c r="D76" s="10" t="n">
        <v>14000</v>
      </c>
      <c r="E76" s="9" t="s">
        <v>230</v>
      </c>
      <c r="F76" s="11" t="s">
        <v>381</v>
      </c>
      <c r="G76" s="9" t="s">
        <v>59</v>
      </c>
      <c r="H76" s="9" t="s">
        <v>382</v>
      </c>
      <c r="I76" s="9" t="s">
        <v>383</v>
      </c>
      <c r="J76" s="9" t="s">
        <v>384</v>
      </c>
      <c r="K76" s="9" t="s">
        <v>385</v>
      </c>
      <c r="L76" s="9" t="s">
        <v>134</v>
      </c>
      <c r="M76" s="9" t="s">
        <v>32</v>
      </c>
      <c r="N76" s="12" t="s">
        <v>386</v>
      </c>
      <c r="O76" s="9" t="s">
        <v>387</v>
      </c>
    </row>
    <row r="77" customFormat="false" ht="35.05" hidden="false" customHeight="false" outlineLevel="0" collapsed="false">
      <c r="A77" s="9" t="n">
        <v>73</v>
      </c>
      <c r="B77" s="9" t="s">
        <v>353</v>
      </c>
      <c r="C77" s="9" t="s">
        <v>388</v>
      </c>
      <c r="D77" s="14" t="n">
        <v>14.1</v>
      </c>
      <c r="E77" s="9" t="s">
        <v>81</v>
      </c>
      <c r="F77" s="11" t="s">
        <v>366</v>
      </c>
      <c r="G77" s="9" t="s">
        <v>59</v>
      </c>
      <c r="H77" s="9" t="s">
        <v>389</v>
      </c>
      <c r="I77" s="9" t="s">
        <v>233</v>
      </c>
      <c r="J77" s="9" t="s">
        <v>234</v>
      </c>
      <c r="K77" s="9" t="s">
        <v>235</v>
      </c>
      <c r="L77" s="9" t="s">
        <v>236</v>
      </c>
      <c r="M77" s="9" t="s">
        <v>28</v>
      </c>
      <c r="N77" s="12" t="s">
        <v>237</v>
      </c>
      <c r="O77" s="9"/>
    </row>
    <row r="78" customFormat="false" ht="23.85" hidden="false" customHeight="false" outlineLevel="0" collapsed="false">
      <c r="A78" s="9" t="n">
        <v>74</v>
      </c>
      <c r="B78" s="9" t="s">
        <v>390</v>
      </c>
      <c r="C78" s="9" t="s">
        <v>391</v>
      </c>
      <c r="D78" s="10" t="n">
        <v>1362</v>
      </c>
      <c r="E78" s="9" t="s">
        <v>392</v>
      </c>
      <c r="F78" s="11" t="s">
        <v>393</v>
      </c>
      <c r="G78" s="9" t="s">
        <v>73</v>
      </c>
      <c r="H78" s="9" t="s">
        <v>394</v>
      </c>
      <c r="I78" s="9" t="s">
        <v>395</v>
      </c>
      <c r="J78" s="9" t="s">
        <v>396</v>
      </c>
      <c r="K78" s="9" t="s">
        <v>271</v>
      </c>
      <c r="L78" s="9" t="s">
        <v>64</v>
      </c>
      <c r="M78" s="9" t="s">
        <v>30</v>
      </c>
      <c r="N78" s="12" t="s">
        <v>397</v>
      </c>
      <c r="O78" s="9"/>
    </row>
    <row r="79" customFormat="false" ht="23.85" hidden="false" customHeight="false" outlineLevel="0" collapsed="false">
      <c r="A79" s="9" t="n">
        <v>75</v>
      </c>
      <c r="B79" s="9" t="s">
        <v>390</v>
      </c>
      <c r="C79" s="9" t="s">
        <v>398</v>
      </c>
      <c r="D79" s="10" t="n">
        <v>6</v>
      </c>
      <c r="E79" s="9" t="s">
        <v>399</v>
      </c>
      <c r="F79" s="11" t="s">
        <v>271</v>
      </c>
      <c r="G79" s="9" t="s">
        <v>59</v>
      </c>
      <c r="H79" s="9"/>
      <c r="I79" s="9" t="s">
        <v>395</v>
      </c>
      <c r="J79" s="9" t="s">
        <v>396</v>
      </c>
      <c r="K79" s="9" t="s">
        <v>271</v>
      </c>
      <c r="L79" s="9" t="s">
        <v>64</v>
      </c>
      <c r="M79" s="9" t="s">
        <v>30</v>
      </c>
      <c r="N79" s="12" t="s">
        <v>397</v>
      </c>
      <c r="O79" s="9"/>
    </row>
    <row r="80" customFormat="false" ht="23.85" hidden="false" customHeight="false" outlineLevel="0" collapsed="false">
      <c r="A80" s="9" t="n">
        <v>76</v>
      </c>
      <c r="B80" s="9" t="s">
        <v>390</v>
      </c>
      <c r="C80" s="9" t="s">
        <v>400</v>
      </c>
      <c r="D80" s="14" t="n">
        <v>18.3</v>
      </c>
      <c r="E80" s="9" t="s">
        <v>81</v>
      </c>
      <c r="F80" s="11" t="s">
        <v>105</v>
      </c>
      <c r="G80" s="9" t="s">
        <v>401</v>
      </c>
      <c r="H80" s="9" t="s">
        <v>402</v>
      </c>
      <c r="I80" s="9" t="s">
        <v>403</v>
      </c>
      <c r="J80" s="9" t="s">
        <v>404</v>
      </c>
      <c r="K80" s="9" t="s">
        <v>405</v>
      </c>
      <c r="L80" s="9" t="s">
        <v>169</v>
      </c>
      <c r="M80" s="9" t="s">
        <v>32</v>
      </c>
      <c r="N80" s="12" t="s">
        <v>406</v>
      </c>
      <c r="O80" s="9" t="s">
        <v>407</v>
      </c>
    </row>
    <row r="81" customFormat="false" ht="35.05" hidden="false" customHeight="false" outlineLevel="0" collapsed="false">
      <c r="A81" s="9" t="n">
        <v>77</v>
      </c>
      <c r="B81" s="9" t="s">
        <v>390</v>
      </c>
      <c r="C81" s="9" t="s">
        <v>408</v>
      </c>
      <c r="D81" s="10" t="n">
        <v>45</v>
      </c>
      <c r="E81" s="9" t="s">
        <v>81</v>
      </c>
      <c r="F81" s="11" t="s">
        <v>366</v>
      </c>
      <c r="G81" s="9" t="s">
        <v>401</v>
      </c>
      <c r="H81" s="9" t="s">
        <v>409</v>
      </c>
      <c r="I81" s="9" t="s">
        <v>410</v>
      </c>
      <c r="J81" s="9" t="s">
        <v>411</v>
      </c>
      <c r="K81" s="9" t="s">
        <v>412</v>
      </c>
      <c r="L81" s="9" t="s">
        <v>169</v>
      </c>
      <c r="M81" s="9" t="s">
        <v>32</v>
      </c>
      <c r="N81" s="12" t="s">
        <v>413</v>
      </c>
      <c r="O81" s="9"/>
    </row>
    <row r="82" customFormat="false" ht="35.05" hidden="false" customHeight="false" outlineLevel="0" collapsed="false">
      <c r="A82" s="9" t="n">
        <v>78</v>
      </c>
      <c r="B82" s="9" t="s">
        <v>390</v>
      </c>
      <c r="C82" s="9" t="s">
        <v>414</v>
      </c>
      <c r="D82" s="10" t="n">
        <v>1213</v>
      </c>
      <c r="E82" s="9" t="s">
        <v>415</v>
      </c>
      <c r="F82" s="11" t="s">
        <v>366</v>
      </c>
      <c r="G82" s="9" t="s">
        <v>401</v>
      </c>
      <c r="H82" s="9" t="s">
        <v>416</v>
      </c>
      <c r="I82" s="9" t="s">
        <v>410</v>
      </c>
      <c r="J82" s="9" t="s">
        <v>411</v>
      </c>
      <c r="K82" s="9" t="s">
        <v>412</v>
      </c>
      <c r="L82" s="9" t="s">
        <v>169</v>
      </c>
      <c r="M82" s="9" t="s">
        <v>32</v>
      </c>
      <c r="N82" s="12" t="s">
        <v>413</v>
      </c>
      <c r="O82" s="9"/>
    </row>
    <row r="83" customFormat="false" ht="23.85" hidden="false" customHeight="false" outlineLevel="0" collapsed="false">
      <c r="A83" s="9" t="n">
        <v>79</v>
      </c>
      <c r="B83" s="9" t="s">
        <v>390</v>
      </c>
      <c r="C83" s="9" t="s">
        <v>417</v>
      </c>
      <c r="D83" s="13" t="s">
        <v>418</v>
      </c>
      <c r="E83" s="9" t="s">
        <v>157</v>
      </c>
      <c r="F83" s="11" t="s">
        <v>419</v>
      </c>
      <c r="G83" s="9" t="s">
        <v>401</v>
      </c>
      <c r="H83" s="9" t="s">
        <v>420</v>
      </c>
      <c r="I83" s="9" t="s">
        <v>421</v>
      </c>
      <c r="J83" s="9" t="s">
        <v>422</v>
      </c>
      <c r="K83" s="9" t="s">
        <v>423</v>
      </c>
      <c r="L83" s="9" t="s">
        <v>96</v>
      </c>
      <c r="M83" s="9" t="s">
        <v>30</v>
      </c>
      <c r="N83" s="12" t="s">
        <v>424</v>
      </c>
      <c r="O83" s="9"/>
    </row>
    <row r="84" customFormat="false" ht="23.85" hidden="false" customHeight="false" outlineLevel="0" collapsed="false">
      <c r="A84" s="9" t="n">
        <v>80</v>
      </c>
      <c r="B84" s="9" t="s">
        <v>390</v>
      </c>
      <c r="C84" s="9" t="s">
        <v>425</v>
      </c>
      <c r="D84" s="14" t="n">
        <v>15.8</v>
      </c>
      <c r="E84" s="9" t="s">
        <v>81</v>
      </c>
      <c r="F84" s="11" t="s">
        <v>426</v>
      </c>
      <c r="G84" s="9" t="s">
        <v>427</v>
      </c>
      <c r="H84" s="9" t="s">
        <v>428</v>
      </c>
      <c r="I84" s="9" t="s">
        <v>421</v>
      </c>
      <c r="J84" s="9" t="s">
        <v>422</v>
      </c>
      <c r="K84" s="9" t="s">
        <v>423</v>
      </c>
      <c r="L84" s="9" t="s">
        <v>96</v>
      </c>
      <c r="M84" s="9" t="s">
        <v>30</v>
      </c>
      <c r="N84" s="12" t="s">
        <v>424</v>
      </c>
      <c r="O84" s="9"/>
    </row>
    <row r="85" customFormat="false" ht="23.85" hidden="false" customHeight="false" outlineLevel="0" collapsed="false">
      <c r="A85" s="9" t="n">
        <v>81</v>
      </c>
      <c r="B85" s="9" t="s">
        <v>390</v>
      </c>
      <c r="C85" s="9" t="s">
        <v>429</v>
      </c>
      <c r="D85" s="14" t="n">
        <v>9.2</v>
      </c>
      <c r="E85" s="9" t="s">
        <v>81</v>
      </c>
      <c r="F85" s="11" t="s">
        <v>366</v>
      </c>
      <c r="G85" s="9" t="s">
        <v>427</v>
      </c>
      <c r="H85" s="9" t="s">
        <v>430</v>
      </c>
      <c r="I85" s="9" t="s">
        <v>421</v>
      </c>
      <c r="J85" s="9" t="s">
        <v>422</v>
      </c>
      <c r="K85" s="9" t="s">
        <v>423</v>
      </c>
      <c r="L85" s="9" t="s">
        <v>96</v>
      </c>
      <c r="M85" s="9" t="s">
        <v>30</v>
      </c>
      <c r="N85" s="12" t="s">
        <v>424</v>
      </c>
      <c r="O85" s="9"/>
    </row>
    <row r="86" customFormat="false" ht="23.85" hidden="false" customHeight="false" outlineLevel="0" collapsed="false">
      <c r="A86" s="9" t="n">
        <v>82</v>
      </c>
      <c r="B86" s="9" t="s">
        <v>390</v>
      </c>
      <c r="C86" s="9" t="s">
        <v>431</v>
      </c>
      <c r="D86" s="10" t="n">
        <v>122</v>
      </c>
      <c r="E86" s="9" t="s">
        <v>432</v>
      </c>
      <c r="F86" s="11" t="s">
        <v>433</v>
      </c>
      <c r="G86" s="9" t="s">
        <v>434</v>
      </c>
      <c r="H86" s="9" t="s">
        <v>435</v>
      </c>
      <c r="I86" s="9" t="s">
        <v>436</v>
      </c>
      <c r="J86" s="9" t="s">
        <v>437</v>
      </c>
      <c r="K86" s="9" t="s">
        <v>271</v>
      </c>
      <c r="L86" s="9" t="s">
        <v>64</v>
      </c>
      <c r="M86" s="9" t="s">
        <v>30</v>
      </c>
      <c r="N86" s="12" t="s">
        <v>438</v>
      </c>
      <c r="O86" s="9"/>
    </row>
    <row r="87" customFormat="false" ht="35.05" hidden="false" customHeight="false" outlineLevel="0" collapsed="false">
      <c r="A87" s="9" t="n">
        <v>83</v>
      </c>
      <c r="B87" s="9" t="s">
        <v>390</v>
      </c>
      <c r="C87" s="9" t="s">
        <v>439</v>
      </c>
      <c r="D87" s="10" t="n">
        <v>50</v>
      </c>
      <c r="E87" s="9" t="s">
        <v>440</v>
      </c>
      <c r="F87" s="11" t="s">
        <v>441</v>
      </c>
      <c r="G87" s="9" t="s">
        <v>401</v>
      </c>
      <c r="H87" s="9" t="s">
        <v>442</v>
      </c>
      <c r="I87" s="9" t="s">
        <v>443</v>
      </c>
      <c r="J87" s="9" t="s">
        <v>444</v>
      </c>
      <c r="K87" s="9" t="s">
        <v>82</v>
      </c>
      <c r="L87" s="9" t="s">
        <v>169</v>
      </c>
      <c r="M87" s="9" t="s">
        <v>32</v>
      </c>
      <c r="N87" s="12" t="s">
        <v>445</v>
      </c>
      <c r="O87" s="9"/>
    </row>
    <row r="88" customFormat="false" ht="23.85" hidden="false" customHeight="false" outlineLevel="0" collapsed="false">
      <c r="A88" s="9" t="n">
        <v>84</v>
      </c>
      <c r="B88" s="9" t="s">
        <v>390</v>
      </c>
      <c r="C88" s="9" t="s">
        <v>446</v>
      </c>
      <c r="D88" s="10" t="n">
        <v>4212100</v>
      </c>
      <c r="E88" s="9" t="s">
        <v>447</v>
      </c>
      <c r="F88" s="11" t="s">
        <v>448</v>
      </c>
      <c r="G88" s="9" t="s">
        <v>449</v>
      </c>
      <c r="H88" s="9" t="s">
        <v>450</v>
      </c>
      <c r="I88" s="9" t="s">
        <v>451</v>
      </c>
      <c r="J88" s="9" t="s">
        <v>452</v>
      </c>
      <c r="K88" s="9" t="s">
        <v>453</v>
      </c>
      <c r="L88" s="9" t="s">
        <v>64</v>
      </c>
      <c r="M88" s="9" t="s">
        <v>30</v>
      </c>
      <c r="N88" s="12" t="s">
        <v>454</v>
      </c>
      <c r="O88" s="9"/>
    </row>
    <row r="89" customFormat="false" ht="35.05" hidden="false" customHeight="false" outlineLevel="0" collapsed="false">
      <c r="A89" s="9" t="n">
        <v>85</v>
      </c>
      <c r="B89" s="9" t="s">
        <v>455</v>
      </c>
      <c r="C89" s="9" t="s">
        <v>456</v>
      </c>
      <c r="D89" s="10" t="n">
        <v>583466</v>
      </c>
      <c r="E89" s="9" t="s">
        <v>457</v>
      </c>
      <c r="F89" s="11" t="s">
        <v>138</v>
      </c>
      <c r="G89" s="9" t="s">
        <v>59</v>
      </c>
      <c r="H89" s="9" t="s">
        <v>458</v>
      </c>
      <c r="I89" s="9" t="s">
        <v>459</v>
      </c>
      <c r="J89" s="9" t="s">
        <v>460</v>
      </c>
      <c r="K89" s="9" t="s">
        <v>271</v>
      </c>
      <c r="L89" s="9" t="s">
        <v>64</v>
      </c>
      <c r="M89" s="9" t="s">
        <v>28</v>
      </c>
      <c r="N89" s="12" t="s">
        <v>461</v>
      </c>
      <c r="O89" s="9"/>
    </row>
    <row r="90" customFormat="false" ht="35.05" hidden="false" customHeight="false" outlineLevel="0" collapsed="false">
      <c r="A90" s="9" t="n">
        <v>86</v>
      </c>
      <c r="B90" s="9" t="s">
        <v>455</v>
      </c>
      <c r="C90" s="9" t="s">
        <v>456</v>
      </c>
      <c r="D90" s="10" t="n">
        <v>688220</v>
      </c>
      <c r="E90" s="9" t="s">
        <v>457</v>
      </c>
      <c r="F90" s="11" t="s">
        <v>366</v>
      </c>
      <c r="G90" s="9" t="s">
        <v>59</v>
      </c>
      <c r="H90" s="9" t="s">
        <v>247</v>
      </c>
      <c r="I90" s="9" t="s">
        <v>459</v>
      </c>
      <c r="J90" s="9" t="s">
        <v>460</v>
      </c>
      <c r="K90" s="9" t="s">
        <v>271</v>
      </c>
      <c r="L90" s="9" t="s">
        <v>64</v>
      </c>
      <c r="M90" s="9" t="s">
        <v>28</v>
      </c>
      <c r="N90" s="12" t="s">
        <v>461</v>
      </c>
      <c r="O90" s="9"/>
    </row>
    <row r="91" customFormat="false" ht="35.05" hidden="false" customHeight="false" outlineLevel="0" collapsed="false">
      <c r="A91" s="9" t="n">
        <v>87</v>
      </c>
      <c r="B91" s="9" t="s">
        <v>455</v>
      </c>
      <c r="C91" s="9" t="s">
        <v>456</v>
      </c>
      <c r="D91" s="10" t="n">
        <v>765384</v>
      </c>
      <c r="E91" s="9" t="s">
        <v>457</v>
      </c>
      <c r="F91" s="11" t="s">
        <v>105</v>
      </c>
      <c r="G91" s="9" t="s">
        <v>59</v>
      </c>
      <c r="H91" s="9" t="s">
        <v>247</v>
      </c>
      <c r="I91" s="9" t="s">
        <v>459</v>
      </c>
      <c r="J91" s="9" t="s">
        <v>460</v>
      </c>
      <c r="K91" s="9" t="s">
        <v>271</v>
      </c>
      <c r="L91" s="9" t="s">
        <v>64</v>
      </c>
      <c r="M91" s="9" t="s">
        <v>28</v>
      </c>
      <c r="N91" s="12" t="s">
        <v>461</v>
      </c>
      <c r="O91" s="9"/>
    </row>
    <row r="92" customFormat="false" ht="35.05" hidden="false" customHeight="false" outlineLevel="0" collapsed="false">
      <c r="A92" s="9" t="n">
        <v>88</v>
      </c>
      <c r="B92" s="9" t="s">
        <v>455</v>
      </c>
      <c r="C92" s="9" t="s">
        <v>456</v>
      </c>
      <c r="D92" s="10" t="n">
        <v>625386</v>
      </c>
      <c r="E92" s="9" t="s">
        <v>457</v>
      </c>
      <c r="F92" s="11" t="s">
        <v>423</v>
      </c>
      <c r="G92" s="9" t="s">
        <v>59</v>
      </c>
      <c r="H92" s="9" t="s">
        <v>247</v>
      </c>
      <c r="I92" s="9" t="s">
        <v>459</v>
      </c>
      <c r="J92" s="9" t="s">
        <v>460</v>
      </c>
      <c r="K92" s="9" t="s">
        <v>271</v>
      </c>
      <c r="L92" s="9" t="s">
        <v>64</v>
      </c>
      <c r="M92" s="9" t="s">
        <v>28</v>
      </c>
      <c r="N92" s="12" t="s">
        <v>461</v>
      </c>
      <c r="O92" s="9"/>
    </row>
    <row r="93" customFormat="false" ht="35.05" hidden="false" customHeight="false" outlineLevel="0" collapsed="false">
      <c r="A93" s="9" t="n">
        <v>89</v>
      </c>
      <c r="B93" s="9" t="s">
        <v>455</v>
      </c>
      <c r="C93" s="9" t="s">
        <v>456</v>
      </c>
      <c r="D93" s="10" t="n">
        <v>605844</v>
      </c>
      <c r="E93" s="9" t="s">
        <v>457</v>
      </c>
      <c r="F93" s="11" t="s">
        <v>146</v>
      </c>
      <c r="G93" s="9" t="s">
        <v>59</v>
      </c>
      <c r="H93" s="9" t="s">
        <v>462</v>
      </c>
      <c r="I93" s="9" t="s">
        <v>459</v>
      </c>
      <c r="J93" s="9" t="s">
        <v>460</v>
      </c>
      <c r="K93" s="9" t="s">
        <v>271</v>
      </c>
      <c r="L93" s="9" t="s">
        <v>64</v>
      </c>
      <c r="M93" s="9" t="s">
        <v>28</v>
      </c>
      <c r="N93" s="12" t="s">
        <v>461</v>
      </c>
      <c r="O93" s="9"/>
    </row>
    <row r="94" customFormat="false" ht="35.05" hidden="false" customHeight="false" outlineLevel="0" collapsed="false">
      <c r="A94" s="9" t="n">
        <v>90</v>
      </c>
      <c r="B94" s="9" t="s">
        <v>455</v>
      </c>
      <c r="C94" s="9" t="s">
        <v>463</v>
      </c>
      <c r="D94" s="10" t="n">
        <v>685215</v>
      </c>
      <c r="E94" s="9" t="s">
        <v>457</v>
      </c>
      <c r="F94" s="11" t="s">
        <v>146</v>
      </c>
      <c r="G94" s="9" t="s">
        <v>59</v>
      </c>
      <c r="H94" s="9" t="s">
        <v>464</v>
      </c>
      <c r="I94" s="9" t="s">
        <v>459</v>
      </c>
      <c r="J94" s="9" t="s">
        <v>460</v>
      </c>
      <c r="K94" s="9" t="s">
        <v>271</v>
      </c>
      <c r="L94" s="9" t="s">
        <v>64</v>
      </c>
      <c r="M94" s="9" t="s">
        <v>28</v>
      </c>
      <c r="N94" s="12" t="s">
        <v>461</v>
      </c>
      <c r="O94" s="9"/>
    </row>
    <row r="95" customFormat="false" ht="35.05" hidden="false" customHeight="false" outlineLevel="0" collapsed="false">
      <c r="A95" s="9" t="n">
        <v>91</v>
      </c>
      <c r="B95" s="9" t="s">
        <v>455</v>
      </c>
      <c r="C95" s="9" t="s">
        <v>465</v>
      </c>
      <c r="D95" s="10" t="n">
        <v>234940</v>
      </c>
      <c r="E95" s="9" t="s">
        <v>457</v>
      </c>
      <c r="F95" s="11" t="s">
        <v>146</v>
      </c>
      <c r="G95" s="9" t="s">
        <v>59</v>
      </c>
      <c r="H95" s="9" t="s">
        <v>466</v>
      </c>
      <c r="I95" s="9" t="s">
        <v>459</v>
      </c>
      <c r="J95" s="9" t="s">
        <v>460</v>
      </c>
      <c r="K95" s="9" t="s">
        <v>271</v>
      </c>
      <c r="L95" s="9" t="s">
        <v>64</v>
      </c>
      <c r="M95" s="9" t="s">
        <v>28</v>
      </c>
      <c r="N95" s="12" t="s">
        <v>461</v>
      </c>
      <c r="O95" s="9" t="s">
        <v>467</v>
      </c>
    </row>
    <row r="96" customFormat="false" ht="35.05" hidden="false" customHeight="false" outlineLevel="0" collapsed="false">
      <c r="A96" s="9" t="n">
        <v>92</v>
      </c>
      <c r="B96" s="9" t="s">
        <v>455</v>
      </c>
      <c r="C96" s="9" t="s">
        <v>468</v>
      </c>
      <c r="D96" s="10" t="n">
        <v>138031</v>
      </c>
      <c r="E96" s="9" t="s">
        <v>457</v>
      </c>
      <c r="F96" s="11" t="s">
        <v>146</v>
      </c>
      <c r="G96" s="9" t="s">
        <v>59</v>
      </c>
      <c r="H96" s="9" t="s">
        <v>469</v>
      </c>
      <c r="I96" s="9" t="s">
        <v>459</v>
      </c>
      <c r="J96" s="9" t="s">
        <v>460</v>
      </c>
      <c r="K96" s="9" t="s">
        <v>271</v>
      </c>
      <c r="L96" s="9" t="s">
        <v>64</v>
      </c>
      <c r="M96" s="9" t="s">
        <v>28</v>
      </c>
      <c r="N96" s="12" t="s">
        <v>461</v>
      </c>
      <c r="O96" s="9"/>
    </row>
    <row r="97" customFormat="false" ht="35.05" hidden="false" customHeight="false" outlineLevel="0" collapsed="false">
      <c r="A97" s="9" t="n">
        <v>93</v>
      </c>
      <c r="B97" s="9" t="s">
        <v>455</v>
      </c>
      <c r="C97" s="9" t="s">
        <v>470</v>
      </c>
      <c r="D97" s="10" t="n">
        <v>29</v>
      </c>
      <c r="E97" s="9" t="s">
        <v>471</v>
      </c>
      <c r="F97" s="11" t="s">
        <v>146</v>
      </c>
      <c r="G97" s="9" t="s">
        <v>59</v>
      </c>
      <c r="H97" s="9" t="s">
        <v>472</v>
      </c>
      <c r="I97" s="9" t="s">
        <v>459</v>
      </c>
      <c r="J97" s="9" t="s">
        <v>460</v>
      </c>
      <c r="K97" s="9" t="s">
        <v>271</v>
      </c>
      <c r="L97" s="9" t="s">
        <v>64</v>
      </c>
      <c r="M97" s="9" t="s">
        <v>28</v>
      </c>
      <c r="N97" s="12" t="s">
        <v>461</v>
      </c>
      <c r="O97" s="9"/>
    </row>
    <row r="98" customFormat="false" ht="35.05" hidden="false" customHeight="false" outlineLevel="0" collapsed="false">
      <c r="A98" s="9" t="n">
        <v>94</v>
      </c>
      <c r="B98" s="9" t="s">
        <v>455</v>
      </c>
      <c r="C98" s="9" t="s">
        <v>473</v>
      </c>
      <c r="D98" s="10" t="n">
        <v>37127</v>
      </c>
      <c r="E98" s="9" t="s">
        <v>457</v>
      </c>
      <c r="F98" s="11" t="s">
        <v>146</v>
      </c>
      <c r="G98" s="9" t="s">
        <v>59</v>
      </c>
      <c r="H98" s="9" t="s">
        <v>474</v>
      </c>
      <c r="I98" s="9" t="s">
        <v>459</v>
      </c>
      <c r="J98" s="9" t="s">
        <v>460</v>
      </c>
      <c r="K98" s="9" t="s">
        <v>271</v>
      </c>
      <c r="L98" s="9" t="s">
        <v>64</v>
      </c>
      <c r="M98" s="9" t="s">
        <v>28</v>
      </c>
      <c r="N98" s="12" t="s">
        <v>461</v>
      </c>
      <c r="O98" s="9"/>
    </row>
    <row r="99" customFormat="false" ht="15" hidden="false" customHeight="false" outlineLevel="0" collapsed="false">
      <c r="A99" s="9" t="n">
        <v>95</v>
      </c>
      <c r="B99" s="9" t="s">
        <v>455</v>
      </c>
      <c r="C99" s="9" t="s">
        <v>475</v>
      </c>
      <c r="D99" s="14" t="n">
        <v>1.31</v>
      </c>
      <c r="E99" s="9" t="s">
        <v>67</v>
      </c>
      <c r="F99" s="11" t="s">
        <v>231</v>
      </c>
      <c r="G99" s="9" t="s">
        <v>59</v>
      </c>
      <c r="H99" s="9" t="s">
        <v>476</v>
      </c>
      <c r="I99" s="9" t="s">
        <v>131</v>
      </c>
      <c r="J99" s="9" t="s">
        <v>132</v>
      </c>
      <c r="K99" s="9" t="s">
        <v>133</v>
      </c>
      <c r="L99" s="9" t="s">
        <v>134</v>
      </c>
      <c r="M99" s="9" t="s">
        <v>28</v>
      </c>
      <c r="N99" s="12" t="s">
        <v>135</v>
      </c>
      <c r="O99" s="9" t="s">
        <v>477</v>
      </c>
    </row>
    <row r="100" customFormat="false" ht="23.85" hidden="false" customHeight="false" outlineLevel="0" collapsed="false">
      <c r="A100" s="9" t="n">
        <v>96</v>
      </c>
      <c r="B100" s="9" t="s">
        <v>455</v>
      </c>
      <c r="C100" s="9" t="s">
        <v>475</v>
      </c>
      <c r="D100" s="14" t="n">
        <v>0.47</v>
      </c>
      <c r="E100" s="9" t="s">
        <v>67</v>
      </c>
      <c r="F100" s="11" t="s">
        <v>146</v>
      </c>
      <c r="G100" s="9" t="s">
        <v>59</v>
      </c>
      <c r="H100" s="9" t="s">
        <v>478</v>
      </c>
      <c r="I100" s="9" t="s">
        <v>131</v>
      </c>
      <c r="J100" s="9" t="s">
        <v>132</v>
      </c>
      <c r="K100" s="9" t="s">
        <v>133</v>
      </c>
      <c r="L100" s="9" t="s">
        <v>134</v>
      </c>
      <c r="M100" s="9" t="s">
        <v>28</v>
      </c>
      <c r="N100" s="12" t="s">
        <v>135</v>
      </c>
      <c r="O100" s="9" t="s">
        <v>479</v>
      </c>
    </row>
    <row r="101" customFormat="false" ht="23.85" hidden="false" customHeight="false" outlineLevel="0" collapsed="false">
      <c r="A101" s="9" t="n">
        <v>97</v>
      </c>
      <c r="B101" s="9" t="s">
        <v>455</v>
      </c>
      <c r="C101" s="9" t="s">
        <v>480</v>
      </c>
      <c r="D101" s="10" t="n">
        <v>1320</v>
      </c>
      <c r="E101" s="9" t="s">
        <v>113</v>
      </c>
      <c r="F101" s="11" t="s">
        <v>146</v>
      </c>
      <c r="G101" s="9" t="s">
        <v>59</v>
      </c>
      <c r="H101" s="9" t="s">
        <v>481</v>
      </c>
      <c r="I101" s="9" t="s">
        <v>131</v>
      </c>
      <c r="J101" s="9" t="s">
        <v>132</v>
      </c>
      <c r="K101" s="9" t="s">
        <v>133</v>
      </c>
      <c r="L101" s="9" t="s">
        <v>134</v>
      </c>
      <c r="M101" s="9" t="s">
        <v>28</v>
      </c>
      <c r="N101" s="12" t="s">
        <v>135</v>
      </c>
      <c r="O101" s="9" t="s">
        <v>482</v>
      </c>
    </row>
    <row r="102" customFormat="false" ht="23.85" hidden="false" customHeight="false" outlineLevel="0" collapsed="false">
      <c r="A102" s="9" t="n">
        <v>98</v>
      </c>
      <c r="B102" s="9" t="s">
        <v>455</v>
      </c>
      <c r="C102" s="9" t="s">
        <v>483</v>
      </c>
      <c r="D102" s="14" t="n">
        <v>3.9</v>
      </c>
      <c r="E102" s="9" t="s">
        <v>67</v>
      </c>
      <c r="F102" s="11" t="s">
        <v>146</v>
      </c>
      <c r="G102" s="9" t="s">
        <v>59</v>
      </c>
      <c r="H102" s="9" t="s">
        <v>484</v>
      </c>
      <c r="I102" s="9" t="s">
        <v>131</v>
      </c>
      <c r="J102" s="9" t="s">
        <v>132</v>
      </c>
      <c r="K102" s="9" t="s">
        <v>133</v>
      </c>
      <c r="L102" s="9" t="s">
        <v>134</v>
      </c>
      <c r="M102" s="9" t="s">
        <v>28</v>
      </c>
      <c r="N102" s="12" t="s">
        <v>135</v>
      </c>
      <c r="O102" s="9" t="s">
        <v>485</v>
      </c>
    </row>
    <row r="103" customFormat="false" ht="23.85" hidden="false" customHeight="false" outlineLevel="0" collapsed="false">
      <c r="A103" s="9" t="n">
        <v>99</v>
      </c>
      <c r="B103" s="9" t="s">
        <v>455</v>
      </c>
      <c r="C103" s="9" t="s">
        <v>486</v>
      </c>
      <c r="D103" s="10" t="n">
        <v>1774501</v>
      </c>
      <c r="E103" s="9" t="s">
        <v>457</v>
      </c>
      <c r="F103" s="11" t="s">
        <v>487</v>
      </c>
      <c r="G103" s="9" t="s">
        <v>59</v>
      </c>
      <c r="H103" s="9" t="s">
        <v>488</v>
      </c>
      <c r="I103" s="9" t="s">
        <v>131</v>
      </c>
      <c r="J103" s="9" t="s">
        <v>132</v>
      </c>
      <c r="K103" s="9" t="s">
        <v>133</v>
      </c>
      <c r="L103" s="9" t="s">
        <v>134</v>
      </c>
      <c r="M103" s="9" t="s">
        <v>28</v>
      </c>
      <c r="N103" s="12" t="s">
        <v>135</v>
      </c>
      <c r="O103" s="9"/>
    </row>
    <row r="104" customFormat="false" ht="23.85" hidden="false" customHeight="false" outlineLevel="0" collapsed="false">
      <c r="A104" s="9" t="n">
        <v>100</v>
      </c>
      <c r="B104" s="9" t="s">
        <v>455</v>
      </c>
      <c r="C104" s="9" t="s">
        <v>489</v>
      </c>
      <c r="D104" s="10" t="n">
        <v>1700000</v>
      </c>
      <c r="E104" s="9" t="s">
        <v>490</v>
      </c>
      <c r="F104" s="11" t="s">
        <v>363</v>
      </c>
      <c r="G104" s="9" t="s">
        <v>59</v>
      </c>
      <c r="H104" s="9" t="s">
        <v>491</v>
      </c>
      <c r="I104" s="9" t="s">
        <v>492</v>
      </c>
      <c r="J104" s="9" t="s">
        <v>493</v>
      </c>
      <c r="K104" s="9" t="s">
        <v>146</v>
      </c>
      <c r="L104" s="9" t="s">
        <v>169</v>
      </c>
      <c r="M104" s="9" t="s">
        <v>32</v>
      </c>
      <c r="N104" s="12" t="s">
        <v>494</v>
      </c>
      <c r="O104" s="9"/>
    </row>
    <row r="105" customFormat="false" ht="23.85" hidden="false" customHeight="false" outlineLevel="0" collapsed="false">
      <c r="A105" s="9" t="n">
        <v>101</v>
      </c>
      <c r="B105" s="9" t="s">
        <v>455</v>
      </c>
      <c r="C105" s="9" t="s">
        <v>495</v>
      </c>
      <c r="D105" s="10" t="n">
        <v>557000</v>
      </c>
      <c r="E105" s="9" t="s">
        <v>490</v>
      </c>
      <c r="F105" s="11" t="s">
        <v>423</v>
      </c>
      <c r="G105" s="9" t="s">
        <v>59</v>
      </c>
      <c r="H105" s="9" t="s">
        <v>496</v>
      </c>
      <c r="I105" s="9" t="s">
        <v>492</v>
      </c>
      <c r="J105" s="9" t="s">
        <v>493</v>
      </c>
      <c r="K105" s="9" t="s">
        <v>146</v>
      </c>
      <c r="L105" s="9" t="s">
        <v>169</v>
      </c>
      <c r="M105" s="9" t="s">
        <v>32</v>
      </c>
      <c r="N105" s="12" t="s">
        <v>494</v>
      </c>
      <c r="O105" s="9" t="s">
        <v>497</v>
      </c>
    </row>
    <row r="106" customFormat="false" ht="23.85" hidden="false" customHeight="false" outlineLevel="0" collapsed="false">
      <c r="A106" s="9" t="n">
        <v>102</v>
      </c>
      <c r="B106" s="9" t="s">
        <v>455</v>
      </c>
      <c r="C106" s="9" t="s">
        <v>498</v>
      </c>
      <c r="D106" s="10" t="n">
        <v>89870</v>
      </c>
      <c r="E106" s="9" t="s">
        <v>457</v>
      </c>
      <c r="F106" s="11" t="s">
        <v>423</v>
      </c>
      <c r="G106" s="9" t="s">
        <v>59</v>
      </c>
      <c r="H106" s="9" t="s">
        <v>499</v>
      </c>
      <c r="I106" s="9" t="s">
        <v>492</v>
      </c>
      <c r="J106" s="9" t="s">
        <v>493</v>
      </c>
      <c r="K106" s="9" t="s">
        <v>146</v>
      </c>
      <c r="L106" s="9" t="s">
        <v>169</v>
      </c>
      <c r="M106" s="9" t="s">
        <v>32</v>
      </c>
      <c r="N106" s="12" t="s">
        <v>494</v>
      </c>
      <c r="O106" s="9"/>
    </row>
    <row r="107" customFormat="false" ht="46.25" hidden="false" customHeight="false" outlineLevel="0" collapsed="false">
      <c r="A107" s="9" t="n">
        <v>103</v>
      </c>
      <c r="B107" s="9" t="s">
        <v>500</v>
      </c>
      <c r="C107" s="9" t="s">
        <v>501</v>
      </c>
      <c r="D107" s="10" t="n">
        <v>1000</v>
      </c>
      <c r="E107" s="9" t="s">
        <v>502</v>
      </c>
      <c r="F107" s="11" t="s">
        <v>503</v>
      </c>
      <c r="G107" s="9" t="s">
        <v>59</v>
      </c>
      <c r="H107" s="9" t="s">
        <v>504</v>
      </c>
      <c r="I107" s="9" t="s">
        <v>505</v>
      </c>
      <c r="J107" s="9" t="s">
        <v>506</v>
      </c>
      <c r="K107" s="9" t="s">
        <v>507</v>
      </c>
      <c r="L107" s="9" t="s">
        <v>508</v>
      </c>
      <c r="M107" s="9" t="s">
        <v>32</v>
      </c>
      <c r="N107" s="12" t="s">
        <v>509</v>
      </c>
      <c r="O107" s="9" t="s">
        <v>510</v>
      </c>
    </row>
    <row r="108" customFormat="false" ht="46.25" hidden="false" customHeight="false" outlineLevel="0" collapsed="false">
      <c r="A108" s="9" t="n">
        <v>104</v>
      </c>
      <c r="B108" s="9" t="s">
        <v>500</v>
      </c>
      <c r="C108" s="9" t="s">
        <v>511</v>
      </c>
      <c r="D108" s="10" t="n">
        <v>300</v>
      </c>
      <c r="E108" s="9" t="s">
        <v>457</v>
      </c>
      <c r="F108" s="11" t="s">
        <v>512</v>
      </c>
      <c r="G108" s="9" t="s">
        <v>59</v>
      </c>
      <c r="H108" s="9" t="s">
        <v>513</v>
      </c>
      <c r="I108" s="9" t="s">
        <v>505</v>
      </c>
      <c r="J108" s="9" t="s">
        <v>506</v>
      </c>
      <c r="K108" s="9" t="s">
        <v>507</v>
      </c>
      <c r="L108" s="9" t="s">
        <v>508</v>
      </c>
      <c r="M108" s="9" t="s">
        <v>32</v>
      </c>
      <c r="N108" s="12" t="s">
        <v>509</v>
      </c>
      <c r="O108" s="9" t="s">
        <v>514</v>
      </c>
    </row>
    <row r="109" customFormat="false" ht="46.25" hidden="false" customHeight="false" outlineLevel="0" collapsed="false">
      <c r="A109" s="9" t="n">
        <v>105</v>
      </c>
      <c r="B109" s="9" t="s">
        <v>500</v>
      </c>
      <c r="C109" s="9" t="s">
        <v>515</v>
      </c>
      <c r="D109" s="10" t="n">
        <v>1000</v>
      </c>
      <c r="E109" s="9" t="s">
        <v>457</v>
      </c>
      <c r="F109" s="11" t="s">
        <v>516</v>
      </c>
      <c r="G109" s="9" t="s">
        <v>59</v>
      </c>
      <c r="H109" s="9" t="s">
        <v>517</v>
      </c>
      <c r="I109" s="9" t="s">
        <v>505</v>
      </c>
      <c r="J109" s="9" t="s">
        <v>506</v>
      </c>
      <c r="K109" s="9" t="s">
        <v>507</v>
      </c>
      <c r="L109" s="9" t="s">
        <v>508</v>
      </c>
      <c r="M109" s="9" t="s">
        <v>32</v>
      </c>
      <c r="N109" s="12" t="s">
        <v>509</v>
      </c>
      <c r="O109" s="9" t="s">
        <v>518</v>
      </c>
    </row>
    <row r="110" customFormat="false" ht="46.25" hidden="false" customHeight="false" outlineLevel="0" collapsed="false">
      <c r="A110" s="9" t="n">
        <v>106</v>
      </c>
      <c r="B110" s="9" t="s">
        <v>500</v>
      </c>
      <c r="C110" s="9" t="s">
        <v>519</v>
      </c>
      <c r="D110" s="10" t="n">
        <v>3</v>
      </c>
      <c r="E110" s="9" t="s">
        <v>520</v>
      </c>
      <c r="F110" s="11" t="s">
        <v>521</v>
      </c>
      <c r="G110" s="9" t="s">
        <v>522</v>
      </c>
      <c r="H110" s="9" t="s">
        <v>523</v>
      </c>
      <c r="I110" s="9" t="s">
        <v>505</v>
      </c>
      <c r="J110" s="9" t="s">
        <v>506</v>
      </c>
      <c r="K110" s="9" t="s">
        <v>507</v>
      </c>
      <c r="L110" s="9" t="s">
        <v>508</v>
      </c>
      <c r="M110" s="9" t="s">
        <v>32</v>
      </c>
      <c r="N110" s="12" t="s">
        <v>509</v>
      </c>
      <c r="O110" s="9" t="s">
        <v>524</v>
      </c>
    </row>
    <row r="111" customFormat="false" ht="46.25" hidden="false" customHeight="false" outlineLevel="0" collapsed="false">
      <c r="A111" s="9" t="n">
        <v>107</v>
      </c>
      <c r="B111" s="9" t="s">
        <v>500</v>
      </c>
      <c r="C111" s="9" t="s">
        <v>525</v>
      </c>
      <c r="D111" s="10" t="n">
        <v>10000</v>
      </c>
      <c r="E111" s="9" t="s">
        <v>113</v>
      </c>
      <c r="F111" s="11" t="s">
        <v>366</v>
      </c>
      <c r="G111" s="9" t="s">
        <v>59</v>
      </c>
      <c r="H111" s="9" t="s">
        <v>526</v>
      </c>
      <c r="I111" s="9" t="s">
        <v>505</v>
      </c>
      <c r="J111" s="9" t="s">
        <v>506</v>
      </c>
      <c r="K111" s="9" t="s">
        <v>507</v>
      </c>
      <c r="L111" s="9" t="s">
        <v>508</v>
      </c>
      <c r="M111" s="9" t="s">
        <v>32</v>
      </c>
      <c r="N111" s="12" t="s">
        <v>509</v>
      </c>
      <c r="O111" s="9" t="s">
        <v>527</v>
      </c>
    </row>
    <row r="112" customFormat="false" ht="35.05" hidden="false" customHeight="false" outlineLevel="0" collapsed="false">
      <c r="A112" s="9" t="n">
        <v>108</v>
      </c>
      <c r="B112" s="9" t="s">
        <v>500</v>
      </c>
      <c r="C112" s="9" t="s">
        <v>528</v>
      </c>
      <c r="D112" s="10" t="n">
        <v>2022</v>
      </c>
      <c r="E112" s="9" t="s">
        <v>529</v>
      </c>
      <c r="F112" s="11" t="s">
        <v>105</v>
      </c>
      <c r="G112" s="9" t="s">
        <v>59</v>
      </c>
      <c r="H112" s="9" t="s">
        <v>530</v>
      </c>
      <c r="I112" s="9" t="s">
        <v>459</v>
      </c>
      <c r="J112" s="9" t="s">
        <v>460</v>
      </c>
      <c r="K112" s="9" t="s">
        <v>271</v>
      </c>
      <c r="L112" s="9" t="s">
        <v>64</v>
      </c>
      <c r="M112" s="9" t="s">
        <v>28</v>
      </c>
      <c r="N112" s="12" t="s">
        <v>461</v>
      </c>
      <c r="O112" s="9"/>
    </row>
    <row r="113" customFormat="false" ht="35.05" hidden="false" customHeight="false" outlineLevel="0" collapsed="false">
      <c r="A113" s="9" t="n">
        <v>109</v>
      </c>
      <c r="B113" s="9" t="s">
        <v>531</v>
      </c>
      <c r="C113" s="9" t="s">
        <v>532</v>
      </c>
      <c r="D113" s="10" t="n">
        <v>15119</v>
      </c>
      <c r="E113" s="9" t="s">
        <v>533</v>
      </c>
      <c r="F113" s="11" t="s">
        <v>146</v>
      </c>
      <c r="G113" s="9" t="s">
        <v>59</v>
      </c>
      <c r="H113" s="9" t="s">
        <v>534</v>
      </c>
      <c r="I113" s="9" t="s">
        <v>535</v>
      </c>
      <c r="J113" s="9" t="s">
        <v>536</v>
      </c>
      <c r="K113" s="9" t="s">
        <v>275</v>
      </c>
      <c r="L113" s="9" t="s">
        <v>96</v>
      </c>
      <c r="M113" s="9" t="s">
        <v>30</v>
      </c>
      <c r="N113" s="12" t="s">
        <v>537</v>
      </c>
      <c r="O113" s="9"/>
    </row>
    <row r="114" customFormat="false" ht="35.05" hidden="false" customHeight="false" outlineLevel="0" collapsed="false">
      <c r="A114" s="9" t="n">
        <v>110</v>
      </c>
      <c r="B114" s="9" t="s">
        <v>531</v>
      </c>
      <c r="C114" s="9" t="s">
        <v>538</v>
      </c>
      <c r="D114" s="10" t="n">
        <v>24315</v>
      </c>
      <c r="E114" s="9" t="s">
        <v>539</v>
      </c>
      <c r="F114" s="11" t="s">
        <v>540</v>
      </c>
      <c r="G114" s="9" t="s">
        <v>541</v>
      </c>
      <c r="H114" s="9" t="s">
        <v>542</v>
      </c>
      <c r="I114" s="9" t="s">
        <v>459</v>
      </c>
      <c r="J114" s="9" t="s">
        <v>460</v>
      </c>
      <c r="K114" s="9" t="s">
        <v>271</v>
      </c>
      <c r="L114" s="9" t="s">
        <v>64</v>
      </c>
      <c r="M114" s="9" t="s">
        <v>28</v>
      </c>
      <c r="N114" s="12" t="s">
        <v>461</v>
      </c>
      <c r="O114" s="9" t="s">
        <v>543</v>
      </c>
    </row>
    <row r="115" customFormat="false" ht="35.05" hidden="false" customHeight="false" outlineLevel="0" collapsed="false">
      <c r="A115" s="9" t="n">
        <v>111</v>
      </c>
      <c r="B115" s="9" t="s">
        <v>531</v>
      </c>
      <c r="C115" s="9" t="s">
        <v>544</v>
      </c>
      <c r="D115" s="10" t="n">
        <v>19263</v>
      </c>
      <c r="E115" s="9" t="s">
        <v>533</v>
      </c>
      <c r="F115" s="11" t="s">
        <v>423</v>
      </c>
      <c r="G115" s="9" t="s">
        <v>59</v>
      </c>
      <c r="H115" s="9" t="s">
        <v>545</v>
      </c>
      <c r="I115" s="9" t="s">
        <v>546</v>
      </c>
      <c r="J115" s="9" t="s">
        <v>547</v>
      </c>
      <c r="K115" s="9" t="s">
        <v>82</v>
      </c>
      <c r="L115" s="9" t="s">
        <v>64</v>
      </c>
      <c r="M115" s="9" t="s">
        <v>32</v>
      </c>
      <c r="N115" s="12" t="s">
        <v>548</v>
      </c>
      <c r="O115" s="9"/>
    </row>
    <row r="116" customFormat="false" ht="35.05" hidden="false" customHeight="false" outlineLevel="0" collapsed="false">
      <c r="A116" s="9" t="n">
        <v>112</v>
      </c>
      <c r="B116" s="9" t="s">
        <v>531</v>
      </c>
      <c r="C116" s="9" t="s">
        <v>549</v>
      </c>
      <c r="D116" s="10" t="n">
        <v>25</v>
      </c>
      <c r="E116" s="9" t="s">
        <v>81</v>
      </c>
      <c r="F116" s="11" t="s">
        <v>550</v>
      </c>
      <c r="G116" s="9" t="s">
        <v>59</v>
      </c>
      <c r="H116" s="9" t="s">
        <v>551</v>
      </c>
      <c r="I116" s="9" t="s">
        <v>546</v>
      </c>
      <c r="J116" s="9" t="s">
        <v>547</v>
      </c>
      <c r="K116" s="9" t="s">
        <v>82</v>
      </c>
      <c r="L116" s="9" t="s">
        <v>64</v>
      </c>
      <c r="M116" s="9" t="s">
        <v>30</v>
      </c>
      <c r="N116" s="12" t="s">
        <v>548</v>
      </c>
      <c r="O116" s="9" t="s">
        <v>552</v>
      </c>
    </row>
    <row r="117" customFormat="false" ht="35.05" hidden="false" customHeight="false" outlineLevel="0" collapsed="false">
      <c r="A117" s="9" t="n">
        <v>113</v>
      </c>
      <c r="B117" s="9" t="s">
        <v>531</v>
      </c>
      <c r="C117" s="9" t="s">
        <v>553</v>
      </c>
      <c r="D117" s="10" t="n">
        <v>123</v>
      </c>
      <c r="E117" s="9" t="s">
        <v>554</v>
      </c>
      <c r="F117" s="11" t="s">
        <v>146</v>
      </c>
      <c r="G117" s="9" t="s">
        <v>59</v>
      </c>
      <c r="H117" s="9" t="s">
        <v>555</v>
      </c>
      <c r="I117" s="9" t="s">
        <v>556</v>
      </c>
      <c r="J117" s="9" t="s">
        <v>557</v>
      </c>
      <c r="K117" s="9" t="s">
        <v>558</v>
      </c>
      <c r="L117" s="9" t="s">
        <v>64</v>
      </c>
      <c r="M117" s="9" t="s">
        <v>28</v>
      </c>
      <c r="N117" s="12" t="s">
        <v>559</v>
      </c>
      <c r="O117" s="9"/>
    </row>
    <row r="118" customFormat="false" ht="23.85" hidden="false" customHeight="false" outlineLevel="0" collapsed="false">
      <c r="A118" s="9" t="n">
        <v>114</v>
      </c>
      <c r="B118" s="9" t="s">
        <v>560</v>
      </c>
      <c r="C118" s="9" t="s">
        <v>561</v>
      </c>
      <c r="D118" s="10" t="n">
        <v>4</v>
      </c>
      <c r="E118" s="9" t="s">
        <v>562</v>
      </c>
      <c r="F118" s="11" t="s">
        <v>563</v>
      </c>
      <c r="G118" s="9" t="s">
        <v>59</v>
      </c>
      <c r="H118" s="9" t="s">
        <v>564</v>
      </c>
      <c r="I118" s="9" t="s">
        <v>140</v>
      </c>
      <c r="J118" s="9" t="s">
        <v>141</v>
      </c>
      <c r="K118" s="9" t="s">
        <v>142</v>
      </c>
      <c r="L118" s="9" t="s">
        <v>64</v>
      </c>
      <c r="M118" s="9" t="s">
        <v>28</v>
      </c>
      <c r="N118" s="12" t="s">
        <v>143</v>
      </c>
      <c r="O118" s="9" t="s">
        <v>565</v>
      </c>
    </row>
    <row r="119" customFormat="false" ht="23.85" hidden="false" customHeight="false" outlineLevel="0" collapsed="false">
      <c r="A119" s="9" t="n">
        <v>115</v>
      </c>
      <c r="B119" s="9" t="s">
        <v>560</v>
      </c>
      <c r="C119" s="9" t="s">
        <v>561</v>
      </c>
      <c r="D119" s="10" t="n">
        <v>8</v>
      </c>
      <c r="E119" s="9" t="s">
        <v>128</v>
      </c>
      <c r="F119" s="11" t="s">
        <v>138</v>
      </c>
      <c r="G119" s="9" t="s">
        <v>59</v>
      </c>
      <c r="H119" s="9" t="s">
        <v>247</v>
      </c>
      <c r="I119" s="9" t="s">
        <v>140</v>
      </c>
      <c r="J119" s="9" t="s">
        <v>141</v>
      </c>
      <c r="K119" s="9" t="s">
        <v>142</v>
      </c>
      <c r="L119" s="9" t="s">
        <v>64</v>
      </c>
      <c r="M119" s="9" t="s">
        <v>28</v>
      </c>
      <c r="N119" s="12" t="s">
        <v>143</v>
      </c>
      <c r="O119" s="9"/>
    </row>
    <row r="120" customFormat="false" ht="46.25" hidden="false" customHeight="false" outlineLevel="0" collapsed="false">
      <c r="A120" s="9" t="n">
        <v>116</v>
      </c>
      <c r="B120" s="9" t="s">
        <v>560</v>
      </c>
      <c r="C120" s="9" t="s">
        <v>561</v>
      </c>
      <c r="D120" s="10" t="n">
        <v>9</v>
      </c>
      <c r="E120" s="9" t="s">
        <v>81</v>
      </c>
      <c r="F120" s="11" t="s">
        <v>277</v>
      </c>
      <c r="G120" s="9" t="s">
        <v>59</v>
      </c>
      <c r="H120" s="9" t="s">
        <v>566</v>
      </c>
      <c r="I120" s="9" t="s">
        <v>120</v>
      </c>
      <c r="J120" s="9" t="s">
        <v>121</v>
      </c>
      <c r="K120" s="9" t="s">
        <v>122</v>
      </c>
      <c r="L120" s="9" t="s">
        <v>64</v>
      </c>
      <c r="M120" s="9" t="s">
        <v>28</v>
      </c>
      <c r="N120" s="12" t="s">
        <v>123</v>
      </c>
      <c r="O120" s="9"/>
    </row>
    <row r="121" customFormat="false" ht="23.85" hidden="false" customHeight="false" outlineLevel="0" collapsed="false">
      <c r="A121" s="9" t="n">
        <v>117</v>
      </c>
      <c r="B121" s="9" t="s">
        <v>560</v>
      </c>
      <c r="C121" s="9" t="s">
        <v>567</v>
      </c>
      <c r="D121" s="14" t="n">
        <v>7.24</v>
      </c>
      <c r="E121" s="9" t="s">
        <v>81</v>
      </c>
      <c r="F121" s="11" t="s">
        <v>146</v>
      </c>
      <c r="G121" s="9" t="s">
        <v>59</v>
      </c>
      <c r="H121" s="9" t="s">
        <v>568</v>
      </c>
      <c r="I121" s="9" t="s">
        <v>131</v>
      </c>
      <c r="J121" s="9" t="s">
        <v>132</v>
      </c>
      <c r="K121" s="9" t="s">
        <v>133</v>
      </c>
      <c r="L121" s="9" t="s">
        <v>134</v>
      </c>
      <c r="M121" s="9" t="s">
        <v>28</v>
      </c>
      <c r="N121" s="12" t="s">
        <v>135</v>
      </c>
      <c r="O121" s="9"/>
    </row>
    <row r="122" customFormat="false" ht="23.85" hidden="false" customHeight="false" outlineLevel="0" collapsed="false">
      <c r="A122" s="9" t="n">
        <v>118</v>
      </c>
      <c r="B122" s="9" t="s">
        <v>560</v>
      </c>
      <c r="C122" s="9" t="s">
        <v>569</v>
      </c>
      <c r="D122" s="10" t="n">
        <v>4</v>
      </c>
      <c r="E122" s="9" t="s">
        <v>81</v>
      </c>
      <c r="F122" s="11" t="s">
        <v>146</v>
      </c>
      <c r="G122" s="9" t="s">
        <v>59</v>
      </c>
      <c r="H122" s="9" t="s">
        <v>570</v>
      </c>
      <c r="I122" s="9" t="s">
        <v>131</v>
      </c>
      <c r="J122" s="9" t="s">
        <v>132</v>
      </c>
      <c r="K122" s="9" t="s">
        <v>133</v>
      </c>
      <c r="L122" s="9" t="s">
        <v>134</v>
      </c>
      <c r="M122" s="9" t="s">
        <v>28</v>
      </c>
      <c r="N122" s="12" t="s">
        <v>135</v>
      </c>
      <c r="O122" s="9"/>
    </row>
    <row r="123" customFormat="false" ht="23.85" hidden="false" customHeight="false" outlineLevel="0" collapsed="false">
      <c r="A123" s="9" t="n">
        <v>119</v>
      </c>
      <c r="B123" s="9" t="s">
        <v>560</v>
      </c>
      <c r="C123" s="9" t="s">
        <v>571</v>
      </c>
      <c r="D123" s="14" t="n">
        <v>16.7</v>
      </c>
      <c r="E123" s="9" t="s">
        <v>81</v>
      </c>
      <c r="F123" s="11" t="s">
        <v>146</v>
      </c>
      <c r="G123" s="9" t="s">
        <v>59</v>
      </c>
      <c r="H123" s="9" t="s">
        <v>572</v>
      </c>
      <c r="I123" s="9" t="s">
        <v>131</v>
      </c>
      <c r="J123" s="9" t="s">
        <v>132</v>
      </c>
      <c r="K123" s="9" t="s">
        <v>133</v>
      </c>
      <c r="L123" s="9" t="s">
        <v>134</v>
      </c>
      <c r="M123" s="9" t="s">
        <v>28</v>
      </c>
      <c r="N123" s="12" t="s">
        <v>135</v>
      </c>
      <c r="O123" s="9" t="s">
        <v>573</v>
      </c>
    </row>
    <row r="124" customFormat="false" ht="23.85" hidden="false" customHeight="false" outlineLevel="0" collapsed="false">
      <c r="A124" s="9" t="n">
        <v>120</v>
      </c>
      <c r="B124" s="9" t="s">
        <v>560</v>
      </c>
      <c r="C124" s="9" t="s">
        <v>567</v>
      </c>
      <c r="D124" s="14" t="n">
        <v>8.4</v>
      </c>
      <c r="E124" s="9" t="s">
        <v>81</v>
      </c>
      <c r="F124" s="11" t="s">
        <v>271</v>
      </c>
      <c r="G124" s="9" t="s">
        <v>59</v>
      </c>
      <c r="H124" s="9" t="s">
        <v>574</v>
      </c>
      <c r="I124" s="9" t="s">
        <v>273</v>
      </c>
      <c r="J124" s="9" t="s">
        <v>274</v>
      </c>
      <c r="K124" s="9" t="s">
        <v>275</v>
      </c>
      <c r="L124" s="9" t="s">
        <v>134</v>
      </c>
      <c r="M124" s="9" t="s">
        <v>36</v>
      </c>
      <c r="N124" s="12" t="s">
        <v>276</v>
      </c>
      <c r="O124" s="9"/>
    </row>
    <row r="125" customFormat="false" ht="23.85" hidden="false" customHeight="false" outlineLevel="0" collapsed="false">
      <c r="A125" s="9" t="n">
        <v>121</v>
      </c>
      <c r="B125" s="9" t="s">
        <v>560</v>
      </c>
      <c r="C125" s="9" t="s">
        <v>575</v>
      </c>
      <c r="D125" s="14" t="n">
        <v>6.9</v>
      </c>
      <c r="E125" s="9" t="s">
        <v>81</v>
      </c>
      <c r="F125" s="11" t="s">
        <v>366</v>
      </c>
      <c r="G125" s="9" t="s">
        <v>59</v>
      </c>
      <c r="H125" s="9" t="s">
        <v>576</v>
      </c>
      <c r="I125" s="9" t="s">
        <v>383</v>
      </c>
      <c r="J125" s="9" t="s">
        <v>384</v>
      </c>
      <c r="K125" s="9" t="s">
        <v>385</v>
      </c>
      <c r="L125" s="9" t="s">
        <v>134</v>
      </c>
      <c r="M125" s="9" t="s">
        <v>32</v>
      </c>
      <c r="N125" s="12" t="s">
        <v>386</v>
      </c>
      <c r="O125" s="9" t="s">
        <v>577</v>
      </c>
    </row>
    <row r="126" customFormat="false" ht="23.85" hidden="false" customHeight="false" outlineLevel="0" collapsed="false">
      <c r="A126" s="9" t="n">
        <v>122</v>
      </c>
      <c r="B126" s="9" t="s">
        <v>560</v>
      </c>
      <c r="C126" s="9" t="s">
        <v>575</v>
      </c>
      <c r="D126" s="14" t="n">
        <v>6.9</v>
      </c>
      <c r="E126" s="9" t="s">
        <v>81</v>
      </c>
      <c r="F126" s="11" t="s">
        <v>105</v>
      </c>
      <c r="G126" s="9" t="s">
        <v>59</v>
      </c>
      <c r="H126" s="9" t="s">
        <v>247</v>
      </c>
      <c r="I126" s="9" t="s">
        <v>383</v>
      </c>
      <c r="J126" s="9" t="s">
        <v>384</v>
      </c>
      <c r="K126" s="9" t="s">
        <v>385</v>
      </c>
      <c r="L126" s="9" t="s">
        <v>134</v>
      </c>
      <c r="M126" s="9" t="s">
        <v>32</v>
      </c>
      <c r="N126" s="12" t="s">
        <v>386</v>
      </c>
      <c r="O126" s="9"/>
    </row>
    <row r="127" customFormat="false" ht="23.85" hidden="false" customHeight="false" outlineLevel="0" collapsed="false">
      <c r="A127" s="9" t="n">
        <v>123</v>
      </c>
      <c r="B127" s="9" t="s">
        <v>560</v>
      </c>
      <c r="C127" s="9" t="s">
        <v>575</v>
      </c>
      <c r="D127" s="14" t="n">
        <v>7.4</v>
      </c>
      <c r="E127" s="9" t="s">
        <v>81</v>
      </c>
      <c r="F127" s="11" t="s">
        <v>423</v>
      </c>
      <c r="G127" s="9" t="s">
        <v>59</v>
      </c>
      <c r="H127" s="9" t="s">
        <v>247</v>
      </c>
      <c r="I127" s="9" t="s">
        <v>383</v>
      </c>
      <c r="J127" s="9" t="s">
        <v>384</v>
      </c>
      <c r="K127" s="9" t="s">
        <v>385</v>
      </c>
      <c r="L127" s="9" t="s">
        <v>134</v>
      </c>
      <c r="M127" s="9" t="s">
        <v>32</v>
      </c>
      <c r="N127" s="12" t="s">
        <v>386</v>
      </c>
      <c r="O127" s="9"/>
    </row>
    <row r="128" customFormat="false" ht="23.85" hidden="false" customHeight="false" outlineLevel="0" collapsed="false">
      <c r="A128" s="9" t="n">
        <v>124</v>
      </c>
      <c r="B128" s="9" t="s">
        <v>560</v>
      </c>
      <c r="C128" s="9" t="s">
        <v>575</v>
      </c>
      <c r="D128" s="14" t="n">
        <v>8.1</v>
      </c>
      <c r="E128" s="9" t="s">
        <v>81</v>
      </c>
      <c r="F128" s="11" t="s">
        <v>146</v>
      </c>
      <c r="G128" s="9" t="s">
        <v>59</v>
      </c>
      <c r="H128" s="9" t="s">
        <v>247</v>
      </c>
      <c r="I128" s="9" t="s">
        <v>383</v>
      </c>
      <c r="J128" s="9" t="s">
        <v>384</v>
      </c>
      <c r="K128" s="9" t="s">
        <v>385</v>
      </c>
      <c r="L128" s="9" t="s">
        <v>134</v>
      </c>
      <c r="M128" s="9" t="s">
        <v>32</v>
      </c>
      <c r="N128" s="12" t="s">
        <v>386</v>
      </c>
      <c r="O128" s="9"/>
    </row>
    <row r="129" customFormat="false" ht="23.85" hidden="false" customHeight="false" outlineLevel="0" collapsed="false">
      <c r="A129" s="9" t="n">
        <v>125</v>
      </c>
      <c r="B129" s="9" t="s">
        <v>560</v>
      </c>
      <c r="C129" s="9" t="s">
        <v>575</v>
      </c>
      <c r="D129" s="14" t="n">
        <v>8.4</v>
      </c>
      <c r="E129" s="9" t="s">
        <v>81</v>
      </c>
      <c r="F129" s="11" t="s">
        <v>271</v>
      </c>
      <c r="G129" s="9" t="s">
        <v>59</v>
      </c>
      <c r="H129" s="9" t="s">
        <v>247</v>
      </c>
      <c r="I129" s="9" t="s">
        <v>383</v>
      </c>
      <c r="J129" s="9" t="s">
        <v>384</v>
      </c>
      <c r="K129" s="9" t="s">
        <v>385</v>
      </c>
      <c r="L129" s="9" t="s">
        <v>134</v>
      </c>
      <c r="M129" s="9" t="s">
        <v>32</v>
      </c>
      <c r="N129" s="12" t="s">
        <v>386</v>
      </c>
      <c r="O129" s="9"/>
    </row>
    <row r="130" customFormat="false" ht="23.85" hidden="false" customHeight="false" outlineLevel="0" collapsed="false">
      <c r="A130" s="9" t="n">
        <v>126</v>
      </c>
      <c r="B130" s="9" t="s">
        <v>560</v>
      </c>
      <c r="C130" s="9" t="s">
        <v>575</v>
      </c>
      <c r="D130" s="14" t="n">
        <v>8.5</v>
      </c>
      <c r="E130" s="9" t="s">
        <v>81</v>
      </c>
      <c r="F130" s="11" t="s">
        <v>275</v>
      </c>
      <c r="G130" s="9" t="s">
        <v>59</v>
      </c>
      <c r="H130" s="9" t="s">
        <v>578</v>
      </c>
      <c r="I130" s="9" t="s">
        <v>383</v>
      </c>
      <c r="J130" s="9" t="s">
        <v>384</v>
      </c>
      <c r="K130" s="9" t="s">
        <v>385</v>
      </c>
      <c r="L130" s="9" t="s">
        <v>134</v>
      </c>
      <c r="M130" s="9" t="s">
        <v>32</v>
      </c>
      <c r="N130" s="12" t="s">
        <v>386</v>
      </c>
      <c r="O130" s="9"/>
    </row>
    <row r="131" customFormat="false" ht="23.85" hidden="false" customHeight="false" outlineLevel="0" collapsed="false">
      <c r="A131" s="9" t="n">
        <v>127</v>
      </c>
      <c r="B131" s="9" t="s">
        <v>560</v>
      </c>
      <c r="C131" s="9" t="s">
        <v>579</v>
      </c>
      <c r="D131" s="10" t="n">
        <v>437</v>
      </c>
      <c r="E131" s="9" t="s">
        <v>580</v>
      </c>
      <c r="F131" s="11" t="s">
        <v>275</v>
      </c>
      <c r="G131" s="9" t="s">
        <v>73</v>
      </c>
      <c r="H131" s="9" t="s">
        <v>581</v>
      </c>
      <c r="I131" s="9" t="s">
        <v>383</v>
      </c>
      <c r="J131" s="9" t="s">
        <v>384</v>
      </c>
      <c r="K131" s="9" t="s">
        <v>385</v>
      </c>
      <c r="L131" s="9" t="s">
        <v>134</v>
      </c>
      <c r="M131" s="9" t="s">
        <v>28</v>
      </c>
      <c r="N131" s="12" t="s">
        <v>386</v>
      </c>
      <c r="O131" s="9"/>
    </row>
    <row r="132" customFormat="false" ht="23.85" hidden="false" customHeight="false" outlineLevel="0" collapsed="false">
      <c r="A132" s="9" t="n">
        <v>128</v>
      </c>
      <c r="B132" s="9" t="s">
        <v>560</v>
      </c>
      <c r="C132" s="9" t="s">
        <v>582</v>
      </c>
      <c r="D132" s="10" t="n">
        <v>56</v>
      </c>
      <c r="E132" s="9" t="s">
        <v>81</v>
      </c>
      <c r="F132" s="11" t="s">
        <v>275</v>
      </c>
      <c r="G132" s="9" t="s">
        <v>73</v>
      </c>
      <c r="H132" s="9" t="s">
        <v>583</v>
      </c>
      <c r="I132" s="9" t="s">
        <v>383</v>
      </c>
      <c r="J132" s="9" t="s">
        <v>384</v>
      </c>
      <c r="K132" s="9" t="s">
        <v>385</v>
      </c>
      <c r="L132" s="9" t="s">
        <v>134</v>
      </c>
      <c r="M132" s="9" t="s">
        <v>28</v>
      </c>
      <c r="N132" s="12" t="s">
        <v>386</v>
      </c>
      <c r="O132" s="9"/>
    </row>
    <row r="133" customFormat="false" ht="23.85" hidden="false" customHeight="false" outlineLevel="0" collapsed="false">
      <c r="A133" s="9" t="n">
        <v>129</v>
      </c>
      <c r="B133" s="9" t="s">
        <v>560</v>
      </c>
      <c r="C133" s="9" t="s">
        <v>584</v>
      </c>
      <c r="D133" s="10" t="n">
        <v>65</v>
      </c>
      <c r="E133" s="9" t="s">
        <v>81</v>
      </c>
      <c r="F133" s="11" t="s">
        <v>275</v>
      </c>
      <c r="G133" s="9" t="s">
        <v>73</v>
      </c>
      <c r="H133" s="9" t="s">
        <v>585</v>
      </c>
      <c r="I133" s="9" t="s">
        <v>383</v>
      </c>
      <c r="J133" s="9" t="s">
        <v>384</v>
      </c>
      <c r="K133" s="9" t="s">
        <v>385</v>
      </c>
      <c r="L133" s="9" t="s">
        <v>134</v>
      </c>
      <c r="M133" s="9" t="s">
        <v>28</v>
      </c>
      <c r="N133" s="12" t="s">
        <v>386</v>
      </c>
      <c r="O133" s="9" t="s">
        <v>586</v>
      </c>
    </row>
    <row r="134" customFormat="false" ht="23.85" hidden="false" customHeight="false" outlineLevel="0" collapsed="false">
      <c r="A134" s="9" t="n">
        <v>130</v>
      </c>
      <c r="B134" s="9" t="s">
        <v>560</v>
      </c>
      <c r="C134" s="9" t="s">
        <v>587</v>
      </c>
      <c r="D134" s="10" t="n">
        <v>93</v>
      </c>
      <c r="E134" s="9" t="s">
        <v>81</v>
      </c>
      <c r="F134" s="11" t="s">
        <v>588</v>
      </c>
      <c r="G134" s="9" t="s">
        <v>589</v>
      </c>
      <c r="H134" s="9" t="s">
        <v>590</v>
      </c>
      <c r="I134" s="9" t="s">
        <v>383</v>
      </c>
      <c r="J134" s="9" t="s">
        <v>384</v>
      </c>
      <c r="K134" s="9" t="s">
        <v>385</v>
      </c>
      <c r="L134" s="9" t="s">
        <v>134</v>
      </c>
      <c r="M134" s="9" t="s">
        <v>28</v>
      </c>
      <c r="N134" s="12" t="s">
        <v>386</v>
      </c>
      <c r="O134" s="9" t="s">
        <v>591</v>
      </c>
    </row>
    <row r="135" customFormat="false" ht="23.85" hidden="false" customHeight="false" outlineLevel="0" collapsed="false">
      <c r="A135" s="9" t="n">
        <v>131</v>
      </c>
      <c r="B135" s="9" t="s">
        <v>560</v>
      </c>
      <c r="C135" s="9" t="s">
        <v>592</v>
      </c>
      <c r="D135" s="10" t="n">
        <v>3838</v>
      </c>
      <c r="E135" s="9" t="s">
        <v>554</v>
      </c>
      <c r="F135" s="11" t="s">
        <v>271</v>
      </c>
      <c r="G135" s="9" t="s">
        <v>59</v>
      </c>
      <c r="H135" s="9" t="s">
        <v>593</v>
      </c>
      <c r="I135" s="9" t="s">
        <v>383</v>
      </c>
      <c r="J135" s="9" t="s">
        <v>384</v>
      </c>
      <c r="K135" s="9" t="s">
        <v>385</v>
      </c>
      <c r="L135" s="9" t="s">
        <v>134</v>
      </c>
      <c r="M135" s="9" t="s">
        <v>28</v>
      </c>
      <c r="N135" s="12" t="s">
        <v>386</v>
      </c>
      <c r="O135" s="9" t="s">
        <v>594</v>
      </c>
    </row>
    <row r="136" customFormat="false" ht="23.85" hidden="false" customHeight="false" outlineLevel="0" collapsed="false">
      <c r="A136" s="9" t="n">
        <v>132</v>
      </c>
      <c r="B136" s="9" t="s">
        <v>595</v>
      </c>
      <c r="C136" s="9" t="s">
        <v>596</v>
      </c>
      <c r="D136" s="10" t="n">
        <v>222</v>
      </c>
      <c r="E136" s="9" t="s">
        <v>597</v>
      </c>
      <c r="F136" s="11" t="s">
        <v>598</v>
      </c>
      <c r="G136" s="9" t="s">
        <v>59</v>
      </c>
      <c r="H136" s="9" t="s">
        <v>599</v>
      </c>
      <c r="I136" s="9" t="s">
        <v>600</v>
      </c>
      <c r="J136" s="9" t="s">
        <v>601</v>
      </c>
      <c r="K136" s="9" t="s">
        <v>271</v>
      </c>
      <c r="L136" s="9" t="s">
        <v>64</v>
      </c>
      <c r="M136" s="9" t="s">
        <v>30</v>
      </c>
      <c r="N136" s="12" t="s">
        <v>602</v>
      </c>
      <c r="O136" s="9" t="s">
        <v>603</v>
      </c>
    </row>
    <row r="137" customFormat="false" ht="23.85" hidden="false" customHeight="false" outlineLevel="0" collapsed="false">
      <c r="A137" s="9" t="n">
        <v>133</v>
      </c>
      <c r="B137" s="9" t="s">
        <v>595</v>
      </c>
      <c r="C137" s="9" t="s">
        <v>604</v>
      </c>
      <c r="D137" s="10" t="n">
        <v>244</v>
      </c>
      <c r="E137" s="9" t="s">
        <v>605</v>
      </c>
      <c r="F137" s="11" t="s">
        <v>271</v>
      </c>
      <c r="G137" s="9" t="s">
        <v>606</v>
      </c>
      <c r="H137" s="9"/>
      <c r="I137" s="9" t="s">
        <v>600</v>
      </c>
      <c r="J137" s="9" t="s">
        <v>601</v>
      </c>
      <c r="K137" s="9" t="s">
        <v>271</v>
      </c>
      <c r="L137" s="9" t="s">
        <v>64</v>
      </c>
      <c r="M137" s="9" t="s">
        <v>30</v>
      </c>
      <c r="N137" s="12" t="s">
        <v>602</v>
      </c>
      <c r="O137" s="9"/>
    </row>
    <row r="138" customFormat="false" ht="23.85" hidden="false" customHeight="false" outlineLevel="0" collapsed="false">
      <c r="A138" s="9" t="n">
        <v>134</v>
      </c>
      <c r="B138" s="9" t="s">
        <v>595</v>
      </c>
      <c r="C138" s="9" t="s">
        <v>607</v>
      </c>
      <c r="D138" s="10" t="n">
        <v>6</v>
      </c>
      <c r="E138" s="9" t="s">
        <v>608</v>
      </c>
      <c r="F138" s="11" t="s">
        <v>609</v>
      </c>
      <c r="G138" s="9" t="s">
        <v>262</v>
      </c>
      <c r="H138" s="9" t="s">
        <v>610</v>
      </c>
      <c r="I138" s="9" t="s">
        <v>600</v>
      </c>
      <c r="J138" s="9" t="s">
        <v>601</v>
      </c>
      <c r="K138" s="9" t="s">
        <v>271</v>
      </c>
      <c r="L138" s="9" t="s">
        <v>64</v>
      </c>
      <c r="M138" s="9" t="s">
        <v>30</v>
      </c>
      <c r="N138" s="12" t="s">
        <v>602</v>
      </c>
      <c r="O138" s="9"/>
    </row>
    <row r="139" customFormat="false" ht="23.85" hidden="false" customHeight="false" outlineLevel="0" collapsed="false">
      <c r="A139" s="9" t="n">
        <v>135</v>
      </c>
      <c r="B139" s="9" t="s">
        <v>595</v>
      </c>
      <c r="C139" s="9" t="s">
        <v>611</v>
      </c>
      <c r="D139" s="10" t="n">
        <v>5</v>
      </c>
      <c r="E139" s="9" t="s">
        <v>612</v>
      </c>
      <c r="F139" s="11" t="s">
        <v>613</v>
      </c>
      <c r="G139" s="9" t="s">
        <v>262</v>
      </c>
      <c r="H139" s="9" t="s">
        <v>614</v>
      </c>
      <c r="I139" s="9" t="s">
        <v>615</v>
      </c>
      <c r="J139" s="9" t="s">
        <v>616</v>
      </c>
      <c r="K139" s="9" t="s">
        <v>82</v>
      </c>
      <c r="L139" s="9" t="s">
        <v>64</v>
      </c>
      <c r="M139" s="9" t="s">
        <v>30</v>
      </c>
      <c r="N139" s="12" t="s">
        <v>617</v>
      </c>
      <c r="O139" s="9"/>
    </row>
    <row r="140" customFormat="false" ht="23.85" hidden="false" customHeight="false" outlineLevel="0" collapsed="false">
      <c r="A140" s="9" t="n">
        <v>136</v>
      </c>
      <c r="B140" s="9" t="s">
        <v>595</v>
      </c>
      <c r="C140" s="9" t="s">
        <v>618</v>
      </c>
      <c r="D140" s="10" t="n">
        <v>29000</v>
      </c>
      <c r="E140" s="9" t="s">
        <v>619</v>
      </c>
      <c r="F140" s="11" t="s">
        <v>620</v>
      </c>
      <c r="G140" s="9" t="s">
        <v>262</v>
      </c>
      <c r="H140" s="9" t="s">
        <v>621</v>
      </c>
      <c r="I140" s="9" t="s">
        <v>600</v>
      </c>
      <c r="J140" s="9" t="s">
        <v>601</v>
      </c>
      <c r="K140" s="9" t="s">
        <v>271</v>
      </c>
      <c r="L140" s="9" t="s">
        <v>64</v>
      </c>
      <c r="M140" s="9" t="s">
        <v>30</v>
      </c>
      <c r="N140" s="12" t="s">
        <v>602</v>
      </c>
      <c r="O140" s="9"/>
    </row>
    <row r="141" customFormat="false" ht="35.05" hidden="false" customHeight="false" outlineLevel="0" collapsed="false">
      <c r="A141" s="9" t="n">
        <v>137</v>
      </c>
      <c r="B141" s="9" t="s">
        <v>595</v>
      </c>
      <c r="C141" s="9" t="s">
        <v>622</v>
      </c>
      <c r="D141" s="10" t="n">
        <v>15</v>
      </c>
      <c r="E141" s="9" t="s">
        <v>81</v>
      </c>
      <c r="F141" s="11" t="s">
        <v>366</v>
      </c>
      <c r="G141" s="9" t="s">
        <v>262</v>
      </c>
      <c r="H141" s="9" t="s">
        <v>623</v>
      </c>
      <c r="I141" s="9" t="s">
        <v>624</v>
      </c>
      <c r="J141" s="9" t="s">
        <v>625</v>
      </c>
      <c r="K141" s="9" t="s">
        <v>626</v>
      </c>
      <c r="L141" s="9" t="s">
        <v>162</v>
      </c>
      <c r="M141" s="9" t="s">
        <v>32</v>
      </c>
      <c r="N141" s="12" t="s">
        <v>627</v>
      </c>
      <c r="O141" s="9"/>
    </row>
    <row r="142" customFormat="false" ht="35.05" hidden="false" customHeight="false" outlineLevel="0" collapsed="false">
      <c r="A142" s="9" t="n">
        <v>138</v>
      </c>
      <c r="B142" s="9" t="s">
        <v>595</v>
      </c>
      <c r="C142" s="9" t="s">
        <v>628</v>
      </c>
      <c r="D142" s="10" t="n">
        <v>14</v>
      </c>
      <c r="E142" s="9" t="s">
        <v>81</v>
      </c>
      <c r="F142" s="11" t="s">
        <v>629</v>
      </c>
      <c r="G142" s="9" t="s">
        <v>262</v>
      </c>
      <c r="H142" s="9" t="s">
        <v>630</v>
      </c>
      <c r="I142" s="9" t="s">
        <v>624</v>
      </c>
      <c r="J142" s="9" t="s">
        <v>625</v>
      </c>
      <c r="K142" s="9" t="s">
        <v>626</v>
      </c>
      <c r="L142" s="9" t="s">
        <v>162</v>
      </c>
      <c r="M142" s="9" t="s">
        <v>32</v>
      </c>
      <c r="N142" s="12" t="s">
        <v>627</v>
      </c>
      <c r="O142" s="9"/>
    </row>
    <row r="143" customFormat="false" ht="46.25" hidden="false" customHeight="false" outlineLevel="0" collapsed="false">
      <c r="A143" s="9" t="n">
        <v>139</v>
      </c>
      <c r="B143" s="9" t="s">
        <v>595</v>
      </c>
      <c r="C143" s="9" t="s">
        <v>631</v>
      </c>
      <c r="D143" s="10" t="n">
        <v>10100</v>
      </c>
      <c r="E143" s="9" t="s">
        <v>632</v>
      </c>
      <c r="F143" s="11" t="s">
        <v>633</v>
      </c>
      <c r="G143" s="9" t="s">
        <v>262</v>
      </c>
      <c r="H143" s="9" t="s">
        <v>634</v>
      </c>
      <c r="I143" s="9" t="s">
        <v>160</v>
      </c>
      <c r="J143" s="9" t="s">
        <v>161</v>
      </c>
      <c r="K143" s="9" t="s">
        <v>105</v>
      </c>
      <c r="L143" s="9" t="s">
        <v>162</v>
      </c>
      <c r="M143" s="9" t="s">
        <v>30</v>
      </c>
      <c r="N143" s="12" t="s">
        <v>163</v>
      </c>
      <c r="O143" s="9"/>
    </row>
    <row r="144" customFormat="false" ht="23.85" hidden="false" customHeight="false" outlineLevel="0" collapsed="false">
      <c r="A144" s="9" t="n">
        <v>140</v>
      </c>
      <c r="B144" s="9" t="s">
        <v>595</v>
      </c>
      <c r="C144" s="9" t="s">
        <v>635</v>
      </c>
      <c r="D144" s="10" t="n">
        <v>1646</v>
      </c>
      <c r="E144" s="9" t="s">
        <v>605</v>
      </c>
      <c r="F144" s="11" t="s">
        <v>636</v>
      </c>
      <c r="G144" s="9" t="s">
        <v>637</v>
      </c>
      <c r="H144" s="9" t="s">
        <v>638</v>
      </c>
      <c r="I144" s="9" t="s">
        <v>639</v>
      </c>
      <c r="J144" s="9" t="s">
        <v>640</v>
      </c>
      <c r="K144" s="9" t="s">
        <v>271</v>
      </c>
      <c r="L144" s="9" t="s">
        <v>64</v>
      </c>
      <c r="M144" s="9" t="s">
        <v>30</v>
      </c>
      <c r="N144" s="12" t="s">
        <v>641</v>
      </c>
      <c r="O144" s="9"/>
    </row>
    <row r="145" customFormat="false" ht="23.85" hidden="false" customHeight="false" outlineLevel="0" collapsed="false">
      <c r="A145" s="9" t="n">
        <v>141</v>
      </c>
      <c r="B145" s="9" t="s">
        <v>595</v>
      </c>
      <c r="C145" s="9" t="s">
        <v>642</v>
      </c>
      <c r="D145" s="14" t="n">
        <v>3.7</v>
      </c>
      <c r="E145" s="9" t="s">
        <v>612</v>
      </c>
      <c r="F145" s="11" t="s">
        <v>643</v>
      </c>
      <c r="G145" s="9" t="s">
        <v>644</v>
      </c>
      <c r="H145" s="9" t="s">
        <v>645</v>
      </c>
      <c r="I145" s="9" t="s">
        <v>639</v>
      </c>
      <c r="J145" s="9" t="s">
        <v>640</v>
      </c>
      <c r="K145" s="9" t="s">
        <v>271</v>
      </c>
      <c r="L145" s="9" t="s">
        <v>64</v>
      </c>
      <c r="M145" s="9" t="s">
        <v>30</v>
      </c>
      <c r="N145" s="12" t="s">
        <v>641</v>
      </c>
      <c r="O145" s="9"/>
    </row>
    <row r="146" customFormat="false" ht="35.05" hidden="false" customHeight="false" outlineLevel="0" collapsed="false">
      <c r="A146" s="9" t="n">
        <v>142</v>
      </c>
      <c r="B146" s="9" t="s">
        <v>595</v>
      </c>
      <c r="C146" s="9" t="s">
        <v>646</v>
      </c>
      <c r="D146" s="10" t="n">
        <v>1</v>
      </c>
      <c r="E146" s="9" t="s">
        <v>647</v>
      </c>
      <c r="F146" s="11" t="s">
        <v>82</v>
      </c>
      <c r="G146" s="9" t="s">
        <v>59</v>
      </c>
      <c r="H146" s="9" t="s">
        <v>648</v>
      </c>
      <c r="I146" s="9" t="s">
        <v>649</v>
      </c>
      <c r="J146" s="9" t="s">
        <v>650</v>
      </c>
      <c r="K146" s="9" t="s">
        <v>82</v>
      </c>
      <c r="L146" s="9" t="s">
        <v>64</v>
      </c>
      <c r="M146" s="9" t="s">
        <v>30</v>
      </c>
      <c r="N146" s="12" t="s">
        <v>651</v>
      </c>
      <c r="O146" s="9"/>
    </row>
    <row r="147" customFormat="false" ht="35.05" hidden="false" customHeight="false" outlineLevel="0" collapsed="false">
      <c r="A147" s="9" t="n">
        <v>143</v>
      </c>
      <c r="B147" s="9" t="s">
        <v>595</v>
      </c>
      <c r="C147" s="9" t="s">
        <v>652</v>
      </c>
      <c r="D147" s="10" t="n">
        <v>6000</v>
      </c>
      <c r="E147" s="9" t="s">
        <v>653</v>
      </c>
      <c r="F147" s="11" t="s">
        <v>82</v>
      </c>
      <c r="G147" s="9" t="s">
        <v>59</v>
      </c>
      <c r="H147" s="9" t="s">
        <v>654</v>
      </c>
      <c r="I147" s="9" t="s">
        <v>649</v>
      </c>
      <c r="J147" s="9" t="s">
        <v>650</v>
      </c>
      <c r="K147" s="9" t="s">
        <v>82</v>
      </c>
      <c r="L147" s="9" t="s">
        <v>64</v>
      </c>
      <c r="M147" s="9" t="s">
        <v>30</v>
      </c>
      <c r="N147" s="12" t="s">
        <v>651</v>
      </c>
      <c r="O147" s="9"/>
    </row>
    <row r="148" customFormat="false" ht="35.05" hidden="false" customHeight="false" outlineLevel="0" collapsed="false">
      <c r="A148" s="9" t="n">
        <v>144</v>
      </c>
      <c r="B148" s="9" t="s">
        <v>595</v>
      </c>
      <c r="C148" s="9" t="s">
        <v>655</v>
      </c>
      <c r="D148" s="10" t="n">
        <v>90</v>
      </c>
      <c r="E148" s="9" t="s">
        <v>580</v>
      </c>
      <c r="F148" s="11" t="s">
        <v>146</v>
      </c>
      <c r="G148" s="9" t="s">
        <v>59</v>
      </c>
      <c r="H148" s="9" t="s">
        <v>656</v>
      </c>
      <c r="I148" s="9" t="s">
        <v>657</v>
      </c>
      <c r="J148" s="9" t="s">
        <v>658</v>
      </c>
      <c r="K148" s="9" t="s">
        <v>659</v>
      </c>
      <c r="L148" s="9" t="s">
        <v>64</v>
      </c>
      <c r="M148" s="9" t="s">
        <v>36</v>
      </c>
      <c r="N148" s="12" t="s">
        <v>660</v>
      </c>
      <c r="O148" s="9" t="s">
        <v>661</v>
      </c>
    </row>
    <row r="149" customFormat="false" ht="35.05" hidden="false" customHeight="false" outlineLevel="0" collapsed="false">
      <c r="A149" s="9" t="n">
        <v>145</v>
      </c>
      <c r="B149" s="9" t="s">
        <v>595</v>
      </c>
      <c r="C149" s="9" t="s">
        <v>662</v>
      </c>
      <c r="D149" s="10" t="n">
        <v>500</v>
      </c>
      <c r="E149" s="9" t="s">
        <v>663</v>
      </c>
      <c r="F149" s="11" t="s">
        <v>609</v>
      </c>
      <c r="G149" s="9" t="s">
        <v>59</v>
      </c>
      <c r="H149" s="9" t="s">
        <v>664</v>
      </c>
      <c r="I149" s="9" t="s">
        <v>224</v>
      </c>
      <c r="J149" s="9" t="s">
        <v>225</v>
      </c>
      <c r="K149" s="9" t="s">
        <v>226</v>
      </c>
      <c r="L149" s="9" t="s">
        <v>162</v>
      </c>
      <c r="M149" s="9" t="s">
        <v>32</v>
      </c>
      <c r="N149" s="12" t="s">
        <v>227</v>
      </c>
      <c r="O149" s="9" t="s">
        <v>665</v>
      </c>
    </row>
    <row r="150" customFormat="false" ht="35.05" hidden="false" customHeight="false" outlineLevel="0" collapsed="false">
      <c r="A150" s="9" t="n">
        <v>146</v>
      </c>
      <c r="B150" s="9" t="s">
        <v>595</v>
      </c>
      <c r="C150" s="9" t="s">
        <v>666</v>
      </c>
      <c r="D150" s="10" t="n">
        <v>16</v>
      </c>
      <c r="E150" s="9" t="s">
        <v>667</v>
      </c>
      <c r="F150" s="11" t="s">
        <v>309</v>
      </c>
      <c r="G150" s="9" t="s">
        <v>59</v>
      </c>
      <c r="H150" s="9" t="s">
        <v>668</v>
      </c>
      <c r="I150" s="9" t="s">
        <v>224</v>
      </c>
      <c r="J150" s="9" t="s">
        <v>225</v>
      </c>
      <c r="K150" s="9" t="s">
        <v>226</v>
      </c>
      <c r="L150" s="9" t="s">
        <v>162</v>
      </c>
      <c r="M150" s="9" t="s">
        <v>32</v>
      </c>
      <c r="N150" s="12" t="s">
        <v>227</v>
      </c>
      <c r="O150" s="9" t="s">
        <v>346</v>
      </c>
    </row>
    <row r="151" customFormat="false" ht="35.05" hidden="false" customHeight="false" outlineLevel="0" collapsed="false">
      <c r="A151" s="9" t="n">
        <v>147</v>
      </c>
      <c r="B151" s="9" t="s">
        <v>595</v>
      </c>
      <c r="C151" s="9" t="s">
        <v>669</v>
      </c>
      <c r="D151" s="10" t="n">
        <v>9758</v>
      </c>
      <c r="E151" s="9" t="s">
        <v>653</v>
      </c>
      <c r="F151" s="11" t="s">
        <v>670</v>
      </c>
      <c r="G151" s="9" t="s">
        <v>59</v>
      </c>
      <c r="H151" s="9" t="s">
        <v>671</v>
      </c>
      <c r="I151" s="9" t="s">
        <v>224</v>
      </c>
      <c r="J151" s="9" t="s">
        <v>225</v>
      </c>
      <c r="K151" s="9" t="s">
        <v>226</v>
      </c>
      <c r="L151" s="9" t="s">
        <v>162</v>
      </c>
      <c r="M151" s="9" t="s">
        <v>32</v>
      </c>
      <c r="N151" s="12" t="s">
        <v>227</v>
      </c>
      <c r="O151" s="9" t="s">
        <v>346</v>
      </c>
    </row>
    <row r="152" customFormat="false" ht="35.05" hidden="false" customHeight="false" outlineLevel="0" collapsed="false">
      <c r="A152" s="9" t="n">
        <v>148</v>
      </c>
      <c r="B152" s="9" t="s">
        <v>595</v>
      </c>
      <c r="C152" s="9" t="s">
        <v>672</v>
      </c>
      <c r="D152" s="10" t="n">
        <v>112580</v>
      </c>
      <c r="E152" s="9" t="s">
        <v>673</v>
      </c>
      <c r="F152" s="11" t="s">
        <v>674</v>
      </c>
      <c r="G152" s="9" t="s">
        <v>59</v>
      </c>
      <c r="H152" s="9" t="s">
        <v>675</v>
      </c>
      <c r="I152" s="9" t="s">
        <v>224</v>
      </c>
      <c r="J152" s="9" t="s">
        <v>225</v>
      </c>
      <c r="K152" s="9" t="s">
        <v>226</v>
      </c>
      <c r="L152" s="9" t="s">
        <v>162</v>
      </c>
      <c r="M152" s="9" t="s">
        <v>32</v>
      </c>
      <c r="N152" s="12" t="s">
        <v>227</v>
      </c>
      <c r="O152" s="9" t="s">
        <v>346</v>
      </c>
    </row>
    <row r="153" customFormat="false" ht="35.05" hidden="false" customHeight="false" outlineLevel="0" collapsed="false">
      <c r="A153" s="9" t="n">
        <v>149</v>
      </c>
      <c r="B153" s="9" t="s">
        <v>595</v>
      </c>
      <c r="C153" s="9" t="s">
        <v>676</v>
      </c>
      <c r="D153" s="10" t="n">
        <v>30</v>
      </c>
      <c r="E153" s="9" t="s">
        <v>677</v>
      </c>
      <c r="F153" s="11" t="s">
        <v>271</v>
      </c>
      <c r="G153" s="9" t="s">
        <v>678</v>
      </c>
      <c r="H153" s="9" t="s">
        <v>679</v>
      </c>
      <c r="I153" s="9" t="s">
        <v>290</v>
      </c>
      <c r="J153" s="9" t="s">
        <v>291</v>
      </c>
      <c r="K153" s="9" t="s">
        <v>292</v>
      </c>
      <c r="L153" s="9" t="s">
        <v>64</v>
      </c>
      <c r="M153" s="9" t="s">
        <v>30</v>
      </c>
      <c r="N153" s="12" t="s">
        <v>293</v>
      </c>
      <c r="O153" s="9"/>
    </row>
    <row r="154" customFormat="false" ht="46.25" hidden="false" customHeight="false" outlineLevel="0" collapsed="false">
      <c r="A154" s="9" t="n">
        <v>150</v>
      </c>
      <c r="B154" s="9" t="s">
        <v>595</v>
      </c>
      <c r="C154" s="9" t="s">
        <v>680</v>
      </c>
      <c r="D154" s="10" t="n">
        <v>43</v>
      </c>
      <c r="E154" s="9" t="s">
        <v>681</v>
      </c>
      <c r="F154" s="11" t="s">
        <v>105</v>
      </c>
      <c r="G154" s="9" t="s">
        <v>59</v>
      </c>
      <c r="H154" s="9" t="s">
        <v>682</v>
      </c>
      <c r="I154" s="9" t="s">
        <v>160</v>
      </c>
      <c r="J154" s="9" t="s">
        <v>161</v>
      </c>
      <c r="K154" s="9" t="s">
        <v>105</v>
      </c>
      <c r="L154" s="9" t="s">
        <v>162</v>
      </c>
      <c r="M154" s="9" t="s">
        <v>30</v>
      </c>
      <c r="N154" s="12" t="s">
        <v>163</v>
      </c>
      <c r="O154" s="9"/>
    </row>
    <row r="155" customFormat="false" ht="35.05" hidden="false" customHeight="false" outlineLevel="0" collapsed="false">
      <c r="A155" s="9" t="n">
        <v>151</v>
      </c>
      <c r="B155" s="9" t="s">
        <v>683</v>
      </c>
      <c r="C155" s="9" t="s">
        <v>684</v>
      </c>
      <c r="D155" s="13" t="s">
        <v>685</v>
      </c>
      <c r="E155" s="9" t="s">
        <v>81</v>
      </c>
      <c r="F155" s="11" t="s">
        <v>686</v>
      </c>
      <c r="G155" s="9" t="s">
        <v>687</v>
      </c>
      <c r="H155" s="9" t="s">
        <v>688</v>
      </c>
      <c r="I155" s="9" t="s">
        <v>233</v>
      </c>
      <c r="J155" s="9" t="s">
        <v>234</v>
      </c>
      <c r="K155" s="9" t="s">
        <v>235</v>
      </c>
      <c r="L155" s="9" t="s">
        <v>236</v>
      </c>
      <c r="M155" s="9" t="s">
        <v>32</v>
      </c>
      <c r="N155" s="12" t="s">
        <v>237</v>
      </c>
      <c r="O155" s="9" t="s">
        <v>689</v>
      </c>
    </row>
    <row r="156" customFormat="false" ht="35.05" hidden="false" customHeight="false" outlineLevel="0" collapsed="false">
      <c r="A156" s="9" t="n">
        <v>152</v>
      </c>
      <c r="B156" s="9" t="s">
        <v>683</v>
      </c>
      <c r="C156" s="9" t="s">
        <v>690</v>
      </c>
      <c r="D156" s="10" t="n">
        <v>100</v>
      </c>
      <c r="E156" s="9" t="s">
        <v>632</v>
      </c>
      <c r="F156" s="11" t="s">
        <v>691</v>
      </c>
      <c r="G156" s="9" t="s">
        <v>692</v>
      </c>
      <c r="H156" s="9" t="s">
        <v>693</v>
      </c>
      <c r="I156" s="9" t="s">
        <v>233</v>
      </c>
      <c r="J156" s="9" t="s">
        <v>234</v>
      </c>
      <c r="K156" s="9" t="s">
        <v>235</v>
      </c>
      <c r="L156" s="9" t="s">
        <v>236</v>
      </c>
      <c r="M156" s="9" t="s">
        <v>32</v>
      </c>
      <c r="N156" s="12" t="s">
        <v>237</v>
      </c>
      <c r="O156" s="9" t="s">
        <v>694</v>
      </c>
    </row>
  </sheetData>
  <autoFilter ref="A4:O156"/>
  <dataValidations count="3">
    <dataValidation allowBlank="true" error="Choisir une valeur de la liste" errorStyle="stop" operator="between" showDropDown="false" showErrorMessage="false" showInputMessage="false" sqref="B5:B456" type="list">
      <formula1>Listes!$A$1:$A$11</formula1>
      <formula2>0</formula2>
    </dataValidation>
    <dataValidation allowBlank="true" error="Choisir une valeur de la liste" errorStyle="stop" operator="between" showDropDown="false" showErrorMessage="false" showInputMessage="false" sqref="L5:L456" type="list">
      <formula1>Listes!$B$1:$B$7</formula1>
      <formula2>0</formula2>
    </dataValidation>
    <dataValidation allowBlank="true" error="Choisir une valeur de la liste" errorStyle="stop" operator="between" showDropDown="false" showErrorMessage="false" showInputMessage="false" sqref="M5:M456" type="list">
      <formula1>Listes!$C$1:$C$5</formula1>
      <formula2>0</formula2>
    </dataValidation>
  </dataValidations>
  <hyperlinks>
    <hyperlink ref="N5" r:id="rId1" display="https://www.cerema.fr/fr/actualites/accompagner-mutation-zones-commerciales-peripherie"/>
    <hyperlink ref="N6" r:id="rId2" display="https://www.cerema.fr/fr/actualites/accompagner-mutation-zones-commerciales-peripherie"/>
    <hyperlink ref="N7" r:id="rId3" display="https://www.cerema.fr/fr/actualites/donnees-geolocalisation-1500-zones-commerciales-peripherie"/>
    <hyperlink ref="N8" r:id="rId4" display="https://www.cerema.fr/fr/actualites/accompagner-mutation-zones-commerciales-peripherie"/>
    <hyperlink ref="N9" r:id="rId5" display="https://www.cerema.fr/fr/actualites/accompagner-mutation-zones-commerciales-peripherie"/>
    <hyperlink ref="N10" r:id="rId6" display="https://www.insee.fr/fr/statistiques/5386414"/>
    <hyperlink ref="N11" r:id="rId7" display="https://www.insee.fr/fr/statistiques/5386414"/>
    <hyperlink ref="N12" r:id="rId8" display="https://www.insee.fr/fr/statistiques/5386414"/>
    <hyperlink ref="N13" r:id="rId9" display="https://www.insee.fr/fr/statistiques/8730497"/>
    <hyperlink ref="N14" r:id="rId10" display="https://www.insee.fr/fr/statistiques/8730497"/>
    <hyperlink ref="N15" r:id="rId11" display="https://www.insee.fr/fr/statistiques/8730497"/>
    <hyperlink ref="N16" r:id="rId12" display="https://www.info.gouv.fr/upload/media/content/0001/07/2dc90efc2c1a0e97572bf027240fac63e4dc9d75.pdf"/>
    <hyperlink ref="N17" r:id="rId13" display="https://www.info.gouv.fr/upload/media/content/0001/07/2dc90efc2c1a0e97572bf027240fac63e4dc9d75.pdf"/>
    <hyperlink ref="N18" r:id="rId14" display="https://www.procos.org/images/procos/presse/2025/Conf_0225/procos_dp_120225_site.pdf"/>
    <hyperlink ref="N19" r:id="rId15" display="https://www.cerema.fr/fr/actualites/zones-commerciales-centres-villes-trouver-bon-equilibre"/>
    <hyperlink ref="N23" r:id="rId16" display="https://www.senat.fr/rap/r21-910/r21-9109.html"/>
    <hyperlink ref="N24" r:id="rId17" display="https://www.lsa-conso.fr/la-peripherie-urbaine-aimante-le-commerce,323561"/>
    <hyperlink ref="N25" r:id="rId18" display="https://www.insee.fr/fr/statistiques/5386414"/>
    <hyperlink ref="N26" r:id="rId19" display="https://www.insee.fr/fr/statistiques/5386414"/>
    <hyperlink ref="N27" r:id="rId20" display="https://www.insee.fr/fr/statistiques/5386414"/>
    <hyperlink ref="N28" r:id="rId21" display="https://www.insee.fr/fr/statistiques/5386414"/>
    <hyperlink ref="N29" r:id="rId22" display="https://www.insee.fr/fr/statistiques/5386414"/>
    <hyperlink ref="N30" r:id="rId23" display="https://www.insee.fr/fr/statistiques/5386414"/>
    <hyperlink ref="N31" r:id="rId24" display="https://www.insee.fr/fr/statistiques/5386414"/>
    <hyperlink ref="N32" r:id="rId25" display="https://www.insee.fr/fr/statistiques/4248184"/>
    <hyperlink ref="N33" r:id="rId26" display="https://www.insee.fr/fr/statistiques/4248184"/>
    <hyperlink ref="N34" r:id="rId27" display="https://www.insee.fr/fr/statistiques/4248184"/>
    <hyperlink ref="N35" r:id="rId28" display="https://www.insee.fr/fr/statistiques/4248184"/>
    <hyperlink ref="N36" r:id="rId29" display="https://www.insee.fr/fr/statistiques/8730497"/>
    <hyperlink ref="N37" r:id="rId30" display="https://www.insee.fr/fr/statistiques/8730497"/>
    <hyperlink ref="N38" r:id="rId31" display="https://www.insee.fr/fr/statistiques/8730497"/>
    <hyperlink ref="N39" r:id="rId32" display="https://www.insee.fr/fr/statistiques/8730497"/>
    <hyperlink ref="N40" r:id="rId33" display="https://www.insee.fr/fr/statistiques/8730497"/>
    <hyperlink ref="N41" r:id="rId34" display="https://www.ccomptes.fr/sites/default/files/2023-10/20230929-politiques-publiques-commerce-proximite.pdf"/>
    <hyperlink ref="N42" r:id="rId35" display="https://www.cae-eco.fr/"/>
    <hyperlink ref="N43" r:id="rId36" display="https://www.publicsenat.fr/actualites/territoires/revitalisation-des-centres-villes-un-rapport-du-senat-pointe-un-sous"/>
    <hyperlink ref="N44" r:id="rId37" display="https://www.publicsenat.fr/actualites/territoires/revitalisation-des-centres-villes-un-rapport-du-senat-pointe-un-sous"/>
    <hyperlink ref="N45" r:id="rId38" display="https://www.cerema.fr/fr/actualites/zones-commerciales-centres-villes-trouver-bon-equilibre"/>
    <hyperlink ref="N46" r:id="rId39" display="https://www.banquedesterritoires.fr/vacance-commerciale-les-remedes-de-linstitut-pour-la-ville-et-le-commerce"/>
    <hyperlink ref="N47" r:id="rId40" display="https://www.senat.fr/rap/r21-910/r21-9109.html"/>
    <hyperlink ref="N48" r:id="rId41" display="https://www.procos.org/images/procos/presse/2025/Conf_0225/procos_dp_120225_site.pdf"/>
    <hyperlink ref="N49" r:id="rId42" display="https://www.procos.org/images/procos/presse/2025/Conf_0225/procos_dp_120225_site.pdf"/>
    <hyperlink ref="N50" r:id="rId43" display="https://lechommerces.fr/la-vacance-commerciale-progresse-de-nouveau-en-france/"/>
    <hyperlink ref="N51" r:id="rId44" display="https://www.info.gouv.fr/upload/media/content/0001/07/2dc90efc2c1a0e97572bf027240fac63e4dc9d75.pdf"/>
    <hyperlink ref="N52" r:id="rId45" display="https://www.banquedesterritoires.fr/sites/default/files/2025-11/Rapport-mission-commerce-de-proximite-centres-villes-QPVf.pdf"/>
    <hyperlink ref="N53" r:id="rId46" display="https://www.entreprises.gouv.fr/la-dge/actualites/mission-sur-lavenir-du-commerce-de-proximite-neuf-mesures-retenues-pour"/>
    <hyperlink ref="N54" r:id="rId47" display="https://pointsdevente.fr/fil-info/2024-05-23-la-hausse-de-la-vacance-commerciale-reprend-dans-les-centres-villes/"/>
    <hyperlink ref="N55" r:id="rId48" display="https://pointsdevente.fr/fil-info/2024-05-23-la-hausse-de-la-vacance-commerciale-reprend-dans-les-centres-villes/"/>
    <hyperlink ref="N56" r:id="rId49" display="https://www.codata.eu/blog/quel-bilan-tirer-du-plan-acv-sur-la-vacance-commerciale-des-centres-villes-de-villes-moyennes/"/>
    <hyperlink ref="N57" r:id="rId50" display="https://www.codata.eu/blog/quel-bilan-tirer-du-plan-acv-sur-la-vacance-commerciale-des-centres-villes-de-villes-moyennes/"/>
    <hyperlink ref="N58" r:id="rId51" display="https://www.codata.eu/blog/quel-bilan-tirer-du-plan-acv-sur-la-vacance-commerciale-des-centres-villes-de-villes-moyennes/"/>
    <hyperlink ref="N59" r:id="rId52" display="https://www.codata.eu/blog/quel-bilan-tirer-du-plan-acv-sur-la-vacance-commerciale-des-centres-villes-de-villes-moyennes/"/>
    <hyperlink ref="N60" r:id="rId53" display="https://www.banquedesterritoires.fr/la-progression-de-la-vacance-commerciale-ralentit-surtout-dans-les-villes-moyennes"/>
    <hyperlink ref="N61" r:id="rId54" display="https://www.banquedesterritoires.fr/la-progression-de-la-vacance-commerciale-ralentit-surtout-dans-les-villes-moyennes"/>
    <hyperlink ref="N62" r:id="rId55" display="https://www.banquedesterritoires.fr/la-progression-de-la-vacance-commerciale-ralentit-surtout-dans-les-villes-moyennes"/>
    <hyperlink ref="N63" r:id="rId56" display="https://www.banquedesterritoires.fr/la-progression-de-la-vacance-commerciale-ralentit-surtout-dans-les-villes-moyennes"/>
    <hyperlink ref="N64" r:id="rId57" display="https://www.procos.org/images/procos/presse/2025/Conf_0225/procos_dp_120225_site.pdf"/>
    <hyperlink ref="N65" r:id="rId58" display="https://www.ccomptes.fr/sites/default/files/2023-10/20230929-politiques-publiques-commerce-proximite.pdf"/>
    <hyperlink ref="N66" r:id="rId59" display="https://www.ccomptes.fr/sites/default/files/2023-10/20230929-politiques-publiques-commerce-proximite.pdf"/>
    <hyperlink ref="N67" r:id="rId60" display="https://www.ccomptes.fr/fr/publications/le-rapport-public-annuel-2026"/>
    <hyperlink ref="N68" r:id="rId61" display="https://www.procos.org/images/procos/presse/2025/Conf_0225/procos_dp_120225_site.pdf"/>
    <hyperlink ref="N69" r:id="rId62" display="https://www.procos.org/images/procos/presse/2025/Conf_0225/procos_dp_120225_site.pdf"/>
    <hyperlink ref="N70" r:id="rId63" display="https://www.procos.org/images/procos/presse/2025/Conf_0225/procos_dp_120225_site.pdf"/>
    <hyperlink ref="N71" r:id="rId64" display="https://www.ccomptes.fr/sites/default/files/2023-10/20230929-politiques-publiques-commerce-proximite.pdf"/>
    <hyperlink ref="N72" r:id="rId65" display="https://www.ccomptes.fr/sites/default/files/2023-10/20230929-politiques-publiques-commerce-proximite.pdf"/>
    <hyperlink ref="N73" r:id="rId66" display="https://www.ccomptes.fr/sites/default/files/2023-10/20230929-politiques-publiques-commerce-proximite.pdf"/>
    <hyperlink ref="N74" r:id="rId67" display="https://www.senat.fr/rap/r21-910/r21-9109.html"/>
    <hyperlink ref="N75" r:id="rId68" display="https://lechommerces.fr/la-vacance-commerciale-progresse-de-nouveau-en-france/"/>
    <hyperlink ref="N76" r:id="rId69" display="https://www.icade.fr/content/download/7372/file/barom%C3%A8tre-entr%C3%A9es-de-ville-2e-edition-cap-sur-projets.pdf"/>
    <hyperlink ref="N77" r:id="rId70" display="https://www.cae-eco.fr/"/>
    <hyperlink ref="N78" r:id="rId71" display="https://anct.gouv.fr/quartiers-prioritaires"/>
    <hyperlink ref="N79" r:id="rId72" display="https://anct.gouv.fr/quartiers-prioritaires"/>
    <hyperlink ref="N80" r:id="rId73" display="https://www.inegalites.fr/Chomage-QPV"/>
    <hyperlink ref="N81" r:id="rId74" display="https://www.inegalites.fr/Les-revenus-et-la-pauvrete-dans-les-quartiers-les-plus-en-difficulte"/>
    <hyperlink ref="N82" r:id="rId75" display="https://www.inegalites.fr/Les-revenus-et-la-pauvrete-dans-les-quartiers-les-plus-en-difficulte"/>
    <hyperlink ref="N83" r:id="rId76" display="https://www.onpv.fr/uploads/media_items/onpv-dossier-entreprises-2023.original.pdf"/>
    <hyperlink ref="N84" r:id="rId77" display="https://www.onpv.fr/uploads/media_items/onpv-dossier-entreprises-2023.original.pdf"/>
    <hyperlink ref="N85" r:id="rId78" display="https://www.onpv.fr/uploads/media_items/onpv-dossier-entreprises-2023.original.pdf"/>
    <hyperlink ref="N86" r:id="rId79" display="https://www.anru.fr/la-docutheque/le-commerce-dans-les-quartiers-prioritaires-en-renouvellement-urbain"/>
    <hyperlink ref="N87" r:id="rId80" display="https://www.lsa-conso.fr/l-epareca-aide-les-quartiers-sensibles,34533"/>
    <hyperlink ref="N88" r:id="rId81" display="https://media.anct.gouv.fr/s3fs-public/2024-10/DP_ANCT_LE%20MANS_2024_v4%20(7).pdf"/>
    <hyperlink ref="N89" r:id="rId82" display="https://www.entreprises.gouv.fr/files/files/Publications/2025/rapports-activite/ra-cnac-2024.pdf"/>
    <hyperlink ref="N90" r:id="rId83" display="https://www.entreprises.gouv.fr/files/files/Publications/2025/rapports-activite/ra-cnac-2024.pdf"/>
    <hyperlink ref="N91" r:id="rId84" display="https://www.entreprises.gouv.fr/files/files/Publications/2025/rapports-activite/ra-cnac-2024.pdf"/>
    <hyperlink ref="N92" r:id="rId85" display="https://www.entreprises.gouv.fr/files/files/Publications/2025/rapports-activite/ra-cnac-2024.pdf"/>
    <hyperlink ref="N93" r:id="rId86" display="https://www.entreprises.gouv.fr/files/files/Publications/2025/rapports-activite/ra-cnac-2024.pdf"/>
    <hyperlink ref="N94" r:id="rId87" display="https://www.entreprises.gouv.fr/files/files/Publications/2025/rapports-activite/ra-cnac-2024.pdf"/>
    <hyperlink ref="N95" r:id="rId88" display="https://www.entreprises.gouv.fr/files/files/Publications/2025/rapports-activite/ra-cnac-2024.pdf"/>
    <hyperlink ref="N96" r:id="rId89" display="https://www.entreprises.gouv.fr/files/files/Publications/2025/rapports-activite/ra-cnac-2024.pdf"/>
    <hyperlink ref="N97" r:id="rId90" display="https://www.entreprises.gouv.fr/files/files/Publications/2025/rapports-activite/ra-cnac-2024.pdf"/>
    <hyperlink ref="N98" r:id="rId91" display="https://www.entreprises.gouv.fr/files/files/Publications/2025/rapports-activite/ra-cnac-2024.pdf"/>
    <hyperlink ref="N99" r:id="rId92" display="https://www.procos.org/images/procos/presse/2025/Conf_0225/procos_dp_120225_site.pdf"/>
    <hyperlink ref="N100" r:id="rId93" display="https://www.procos.org/images/procos/presse/2025/Conf_0225/procos_dp_120225_site.pdf"/>
    <hyperlink ref="N101" r:id="rId94" display="https://www.procos.org/images/procos/presse/2025/Conf_0225/procos_dp_120225_site.pdf"/>
    <hyperlink ref="N102" r:id="rId95" display="https://www.procos.org/images/procos/presse/2025/Conf_0225/procos_dp_120225_site.pdf"/>
    <hyperlink ref="N103" r:id="rId96" display="https://www.procos.org/images/procos/presse/2025/Conf_0225/procos_dp_120225_site.pdf"/>
    <hyperlink ref="N104" r:id="rId97" display="https://www.banquedesterritoires.fr/2023-annee-de-transition-de-lamenagement-commercial"/>
    <hyperlink ref="N105" r:id="rId98" display="https://www.banquedesterritoires.fr/2023-annee-de-transition-de-lamenagement-commercial"/>
    <hyperlink ref="N106" r:id="rId99" display="https://www.banquedesterritoires.fr/2023-annee-de-transition-de-lamenagement-commercial"/>
    <hyperlink ref="N107" r:id="rId100" display="https://www.legifrance.gouv.fr"/>
    <hyperlink ref="N108" r:id="rId101" display="https://www.legifrance.gouv.fr"/>
    <hyperlink ref="N109" r:id="rId102" display="https://www.legifrance.gouv.fr"/>
    <hyperlink ref="N110" r:id="rId103" display="https://www.legifrance.gouv.fr"/>
    <hyperlink ref="N111" r:id="rId104" display="https://www.legifrance.gouv.fr"/>
    <hyperlink ref="N112" r:id="rId105" display="https://www.entreprises.gouv.fr/files/files/Publications/2025/rapports-activite/ra-cnac-2024.pdf"/>
    <hyperlink ref="N113" r:id="rId106" display="https://artificialisation.developpement-durable.gouv.fr/actualites/parution-des-donnees-consommation-despaces-naturels-agricoles-et-forestiers-2011-2025"/>
    <hyperlink ref="N114" r:id="rId107" display="https://www.entreprises.gouv.fr/files/files/Publications/2025/rapports-activite/ra-cnac-2024.pdf"/>
    <hyperlink ref="N115" r:id="rId108" display="https://www.cerema.fr/fr/actualites/artificialisation-sols-quelle-dynamique"/>
    <hyperlink ref="N116" r:id="rId109" display="https://www.cerema.fr/fr/actualites/artificialisation-sols-quelle-dynamique"/>
    <hyperlink ref="N117" r:id="rId110" display="https://www.cerema.fr/fr/actualites/potentiel-reindustrialisation-friches"/>
    <hyperlink ref="N118" r:id="rId111" display="https://www.cerema.fr/fr/actualites/zones-commerciales-centres-villes-trouver-bon-equilibre"/>
    <hyperlink ref="N119" r:id="rId112" display="https://www.cerema.fr/fr/actualites/zones-commerciales-centres-villes-trouver-bon-equilibre"/>
    <hyperlink ref="N120" r:id="rId113" display="https://www.info.gouv.fr/upload/media/content/0001/07/2dc90efc2c1a0e97572bf027240fac63e4dc9d75.pdf"/>
    <hyperlink ref="N121" r:id="rId114" display="https://www.procos.org/images/procos/presse/2025/Conf_0225/procos_dp_120225_site.pdf"/>
    <hyperlink ref="N122" r:id="rId115" display="https://www.procos.org/images/procos/presse/2025/Conf_0225/procos_dp_120225_site.pdf"/>
    <hyperlink ref="N123" r:id="rId116" display="https://www.procos.org/images/procos/presse/2025/Conf_0225/procos_dp_120225_site.pdf"/>
    <hyperlink ref="N124" r:id="rId117" display="https://lechommerces.fr/la-vacance-commerciale-progresse-de-nouveau-en-france/"/>
    <hyperlink ref="N125" r:id="rId118" display="https://www.icade.fr/content/download/7372/file/barom%C3%A8tre-entr%C3%A9es-de-ville-2e-edition-cap-sur-projets.pdf"/>
    <hyperlink ref="N126" r:id="rId119" display="https://www.icade.fr/content/download/7372/file/barom%C3%A8tre-entr%C3%A9es-de-ville-2e-edition-cap-sur-projets.pdf"/>
    <hyperlink ref="N127" r:id="rId120" display="https://www.icade.fr/content/download/7372/file/barom%C3%A8tre-entr%C3%A9es-de-ville-2e-edition-cap-sur-projets.pdf"/>
    <hyperlink ref="N128" r:id="rId121" display="https://www.icade.fr/content/download/7372/file/barom%C3%A8tre-entr%C3%A9es-de-ville-2e-edition-cap-sur-projets.pdf"/>
    <hyperlink ref="N129" r:id="rId122" display="https://www.icade.fr/content/download/7372/file/barom%C3%A8tre-entr%C3%A9es-de-ville-2e-edition-cap-sur-projets.pdf"/>
    <hyperlink ref="N130" r:id="rId123" display="https://www.icade.fr/content/download/7372/file/barom%C3%A8tre-entr%C3%A9es-de-ville-2e-edition-cap-sur-projets.pdf"/>
    <hyperlink ref="N131" r:id="rId124" display="https://www.icade.fr/content/download/7372/file/barom%C3%A8tre-entr%C3%A9es-de-ville-2e-edition-cap-sur-projets.pdf"/>
    <hyperlink ref="N132" r:id="rId125" display="https://www.icade.fr/content/download/7372/file/barom%C3%A8tre-entr%C3%A9es-de-ville-2e-edition-cap-sur-projets.pdf"/>
    <hyperlink ref="N133" r:id="rId126" display="https://www.icade.fr/content/download/7372/file/barom%C3%A8tre-entr%C3%A9es-de-ville-2e-edition-cap-sur-projets.pdf"/>
    <hyperlink ref="N134" r:id="rId127" display="https://www.icade.fr/content/download/7372/file/barom%C3%A8tre-entr%C3%A9es-de-ville-2e-edition-cap-sur-projets.pdf"/>
    <hyperlink ref="N135" r:id="rId128" display="https://www.icade.fr/content/download/7372/file/barom%C3%A8tre-entr%C3%A9es-de-ville-2e-edition-cap-sur-projets.pdf"/>
    <hyperlink ref="N136" r:id="rId129" display="https://anct.gouv.fr/programmes-dispositifs/action-coeur-de-ville"/>
    <hyperlink ref="N137" r:id="rId130" display="https://anct.gouv.fr/programmes-dispositifs/action-coeur-de-ville"/>
    <hyperlink ref="N138" r:id="rId131" display="https://anct.gouv.fr/programmes-dispositifs/action-coeur-de-ville"/>
    <hyperlink ref="N139" r:id="rId132" display="https://www.banquedesterritoires.fr/programme-action-coeur-de-ville-2026"/>
    <hyperlink ref="N140" r:id="rId133" display="https://anct.gouv.fr/programmes-dispositifs/action-coeur-de-ville"/>
    <hyperlink ref="N141" r:id="rId134" display="https://www.aefinfo.fr/depeche/679781-action-coeur-de-ville-un-programme-ambitieux-mais-difficile-a-evaluer-selon-la-cour-des-comptes"/>
    <hyperlink ref="N142" r:id="rId135" display="https://www.aefinfo.fr/depeche/679781-action-coeur-de-ville-un-programme-ambitieux-mais-difficile-a-evaluer-selon-la-cour-des-comptes"/>
    <hyperlink ref="N143" r:id="rId136" display="https://www.senat.fr/rap/r21-910/r21-9109.html"/>
    <hyperlink ref="N144" r:id="rId137" display="https://anct.gouv.fr/actualites/petites-villes-de-demain-3-ans-d-engagement-et-11-milliard-d-euros-investis"/>
    <hyperlink ref="N145" r:id="rId138" display="https://anct.gouv.fr/actualites/petites-villes-de-demain-3-ans-d-engagement-et-11-milliard-d-euros-investis"/>
    <hyperlink ref="N146" r:id="rId139" display="https://www.banquedesterritoires.fr/la-banque-des-territoires-deploie-un-milliard-deuros-pour-soutenir-le-commerce"/>
    <hyperlink ref="N147" r:id="rId140" display="https://www.banquedesterritoires.fr/la-banque-des-territoires-deploie-un-milliard-deuros-pour-soutenir-le-commerce"/>
    <hyperlink ref="N148" r:id="rId141" display="https://www.entreprises.gouv.fr/la-direction-generale-des-entreprises/actualites/annonce-74-laureats-plan-transformation-zones-commerciales"/>
    <hyperlink ref="N149" r:id="rId142" display="https://www.ccomptes.fr/sites/default/files/2023-10/20230929-politiques-publiques-commerce-proximite.pdf"/>
    <hyperlink ref="N150" r:id="rId143" display="https://www.ccomptes.fr/sites/default/files/2023-10/20230929-politiques-publiques-commerce-proximite.pdf"/>
    <hyperlink ref="N151" r:id="rId144" display="https://www.ccomptes.fr/sites/default/files/2023-10/20230929-politiques-publiques-commerce-proximite.pdf"/>
    <hyperlink ref="N152" r:id="rId145" display="https://www.ccomptes.fr/sites/default/files/2023-10/20230929-politiques-publiques-commerce-proximite.pdf"/>
    <hyperlink ref="N153" r:id="rId146" display="https://www.entreprises.gouv.fr/la-dge/actualites/mission-sur-lavenir-du-commerce-de-proximite-neuf-mesures-retenues-pour"/>
    <hyperlink ref="N154" r:id="rId147" display="https://www.senat.fr/rap/r21-910/r21-9109.html"/>
    <hyperlink ref="N155" r:id="rId148" display="https://www.cae-eco.fr/"/>
    <hyperlink ref="N156" r:id="rId149" display="https://www.cae-eco.f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5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6"/>
    <col collapsed="false" customWidth="true" hidden="false" outlineLevel="0" max="5" min="5" style="0" width="26"/>
    <col collapsed="false" customWidth="true" hidden="false" outlineLevel="0" max="6" min="6" style="0" width="4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6" t="s">
        <v>695</v>
      </c>
    </row>
    <row r="2" customFormat="false" ht="15" hidden="false" customHeight="false" outlineLevel="0" collapsed="false">
      <c r="A2" s="7" t="s">
        <v>696</v>
      </c>
    </row>
    <row r="4" customFormat="false" ht="31.5" hidden="false" customHeight="true" outlineLevel="0" collapsed="false">
      <c r="A4" s="8" t="s">
        <v>697</v>
      </c>
      <c r="B4" s="8" t="s">
        <v>698</v>
      </c>
      <c r="C4" s="8" t="s">
        <v>699</v>
      </c>
      <c r="D4" s="8" t="s">
        <v>51</v>
      </c>
      <c r="E4" s="8" t="s">
        <v>52</v>
      </c>
      <c r="F4" s="8" t="s">
        <v>53</v>
      </c>
      <c r="G4" s="8" t="s">
        <v>700</v>
      </c>
    </row>
    <row r="5" customFormat="false" ht="15" hidden="false" customHeight="false" outlineLevel="0" collapsed="false">
      <c r="A5" s="9" t="s">
        <v>61</v>
      </c>
      <c r="B5" s="9" t="s">
        <v>701</v>
      </c>
      <c r="C5" s="9" t="s">
        <v>702</v>
      </c>
      <c r="D5" s="9" t="s">
        <v>63</v>
      </c>
      <c r="E5" s="9" t="s">
        <v>64</v>
      </c>
      <c r="F5" s="12" t="s">
        <v>65</v>
      </c>
      <c r="G5" s="15" t="n">
        <f aca="false">COUNTIF(Chiffres!$I$5:$I$456,A5)</f>
        <v>4</v>
      </c>
    </row>
    <row r="6" customFormat="false" ht="23.85" hidden="false" customHeight="false" outlineLevel="0" collapsed="false">
      <c r="A6" s="9" t="s">
        <v>75</v>
      </c>
      <c r="B6" s="9" t="s">
        <v>701</v>
      </c>
      <c r="C6" s="9" t="s">
        <v>703</v>
      </c>
      <c r="D6" s="9" t="s">
        <v>77</v>
      </c>
      <c r="E6" s="9" t="s">
        <v>64</v>
      </c>
      <c r="F6" s="12" t="s">
        <v>78</v>
      </c>
      <c r="G6" s="15" t="n">
        <f aca="false">COUNTIF(Chiffres!$I$5:$I$456,A6)</f>
        <v>1</v>
      </c>
    </row>
    <row r="7" customFormat="false" ht="15" hidden="false" customHeight="false" outlineLevel="0" collapsed="false">
      <c r="A7" s="9" t="s">
        <v>140</v>
      </c>
      <c r="B7" s="9" t="s">
        <v>701</v>
      </c>
      <c r="C7" s="9" t="s">
        <v>704</v>
      </c>
      <c r="D7" s="9" t="s">
        <v>142</v>
      </c>
      <c r="E7" s="9" t="s">
        <v>64</v>
      </c>
      <c r="F7" s="12" t="s">
        <v>143</v>
      </c>
      <c r="G7" s="15" t="n">
        <f aca="false">COUNTIF(Chiffres!$I$5:$I$456,A7)</f>
        <v>3</v>
      </c>
    </row>
    <row r="8" customFormat="false" ht="15" hidden="false" customHeight="false" outlineLevel="0" collapsed="false">
      <c r="A8" s="9" t="s">
        <v>556</v>
      </c>
      <c r="B8" s="9" t="s">
        <v>701</v>
      </c>
      <c r="C8" s="9" t="s">
        <v>705</v>
      </c>
      <c r="D8" s="9" t="s">
        <v>558</v>
      </c>
      <c r="E8" s="9" t="s">
        <v>64</v>
      </c>
      <c r="F8" s="12" t="s">
        <v>559</v>
      </c>
      <c r="G8" s="15" t="n">
        <f aca="false">COUNTIF(Chiffres!$I$5:$I$456,A8)</f>
        <v>1</v>
      </c>
    </row>
    <row r="9" customFormat="false" ht="23.85" hidden="false" customHeight="false" outlineLevel="0" collapsed="false">
      <c r="A9" s="9" t="s">
        <v>93</v>
      </c>
      <c r="B9" s="9" t="s">
        <v>706</v>
      </c>
      <c r="C9" s="9" t="s">
        <v>707</v>
      </c>
      <c r="D9" s="9" t="s">
        <v>95</v>
      </c>
      <c r="E9" s="9" t="s">
        <v>96</v>
      </c>
      <c r="F9" s="12" t="s">
        <v>97</v>
      </c>
      <c r="G9" s="15" t="n">
        <f aca="false">COUNTIF(Chiffres!$I$5:$I$456,A9)</f>
        <v>10</v>
      </c>
    </row>
    <row r="10" customFormat="false" ht="15" hidden="false" customHeight="false" outlineLevel="0" collapsed="false">
      <c r="A10" s="9" t="s">
        <v>194</v>
      </c>
      <c r="B10" s="9" t="s">
        <v>708</v>
      </c>
      <c r="C10" s="9" t="s">
        <v>709</v>
      </c>
      <c r="D10" s="9" t="s">
        <v>196</v>
      </c>
      <c r="E10" s="9" t="s">
        <v>96</v>
      </c>
      <c r="F10" s="12" t="s">
        <v>197</v>
      </c>
      <c r="G10" s="15" t="n">
        <f aca="false">COUNTIF(Chiffres!$I$5:$I$456,A10)</f>
        <v>4</v>
      </c>
    </row>
    <row r="11" customFormat="false" ht="23.85" hidden="false" customHeight="false" outlineLevel="0" collapsed="false">
      <c r="A11" s="9" t="s">
        <v>107</v>
      </c>
      <c r="B11" s="9" t="s">
        <v>710</v>
      </c>
      <c r="C11" s="9" t="s">
        <v>711</v>
      </c>
      <c r="D11" s="9" t="s">
        <v>109</v>
      </c>
      <c r="E11" s="9" t="s">
        <v>96</v>
      </c>
      <c r="F11" s="12" t="s">
        <v>110</v>
      </c>
      <c r="G11" s="15" t="n">
        <f aca="false">COUNTIF(Chiffres!$I$5:$I$456,A11)</f>
        <v>8</v>
      </c>
    </row>
    <row r="12" customFormat="false" ht="23.85" hidden="false" customHeight="false" outlineLevel="0" collapsed="false">
      <c r="A12" s="9" t="s">
        <v>120</v>
      </c>
      <c r="B12" s="9" t="s">
        <v>712</v>
      </c>
      <c r="C12" s="9" t="s">
        <v>713</v>
      </c>
      <c r="D12" s="9" t="s">
        <v>122</v>
      </c>
      <c r="E12" s="9" t="s">
        <v>64</v>
      </c>
      <c r="F12" s="12" t="s">
        <v>123</v>
      </c>
      <c r="G12" s="15" t="n">
        <f aca="false">COUNTIF(Chiffres!$I$5:$I$456,A12)</f>
        <v>4</v>
      </c>
    </row>
    <row r="13" customFormat="false" ht="15" hidden="false" customHeight="false" outlineLevel="0" collapsed="false">
      <c r="A13" s="9" t="s">
        <v>131</v>
      </c>
      <c r="B13" s="9" t="s">
        <v>714</v>
      </c>
      <c r="C13" s="9" t="s">
        <v>715</v>
      </c>
      <c r="D13" s="9" t="s">
        <v>133</v>
      </c>
      <c r="E13" s="9" t="s">
        <v>134</v>
      </c>
      <c r="F13" s="12" t="s">
        <v>135</v>
      </c>
      <c r="G13" s="15" t="n">
        <f aca="false">COUNTIF(Chiffres!$I$5:$I$456,A13)</f>
        <v>15</v>
      </c>
    </row>
    <row r="14" customFormat="false" ht="15" hidden="false" customHeight="false" outlineLevel="0" collapsed="false">
      <c r="A14" s="9" t="s">
        <v>459</v>
      </c>
      <c r="B14" s="9" t="s">
        <v>716</v>
      </c>
      <c r="C14" s="9" t="s">
        <v>717</v>
      </c>
      <c r="D14" s="9" t="s">
        <v>271</v>
      </c>
      <c r="E14" s="9" t="s">
        <v>64</v>
      </c>
      <c r="F14" s="12" t="s">
        <v>461</v>
      </c>
      <c r="G14" s="15" t="n">
        <f aca="false">COUNTIF(Chiffres!$I$5:$I$456,A14)</f>
        <v>12</v>
      </c>
    </row>
    <row r="15" customFormat="false" ht="15" hidden="false" customHeight="false" outlineLevel="0" collapsed="false">
      <c r="A15" s="9" t="s">
        <v>383</v>
      </c>
      <c r="B15" s="9" t="s">
        <v>718</v>
      </c>
      <c r="C15" s="9" t="s">
        <v>719</v>
      </c>
      <c r="D15" s="9" t="s">
        <v>385</v>
      </c>
      <c r="E15" s="9" t="s">
        <v>134</v>
      </c>
      <c r="F15" s="12" t="s">
        <v>386</v>
      </c>
      <c r="G15" s="15" t="n">
        <f aca="false">COUNTIF(Chiffres!$I$5:$I$456,A15)</f>
        <v>12</v>
      </c>
    </row>
    <row r="16" customFormat="false" ht="15" hidden="false" customHeight="false" outlineLevel="0" collapsed="false">
      <c r="A16" s="9" t="s">
        <v>233</v>
      </c>
      <c r="B16" s="9" t="s">
        <v>720</v>
      </c>
      <c r="C16" s="9" t="s">
        <v>721</v>
      </c>
      <c r="D16" s="9" t="s">
        <v>235</v>
      </c>
      <c r="E16" s="9" t="s">
        <v>236</v>
      </c>
      <c r="F16" s="12" t="s">
        <v>237</v>
      </c>
      <c r="G16" s="15" t="n">
        <f aca="false">COUNTIF(Chiffres!$I$5:$I$456,A16)</f>
        <v>4</v>
      </c>
    </row>
    <row r="17" customFormat="false" ht="23.85" hidden="false" customHeight="false" outlineLevel="0" collapsed="false">
      <c r="A17" s="9" t="s">
        <v>148</v>
      </c>
      <c r="B17" s="9" t="s">
        <v>722</v>
      </c>
      <c r="C17" s="9" t="s">
        <v>723</v>
      </c>
      <c r="D17" s="9" t="s">
        <v>146</v>
      </c>
      <c r="E17" s="9" t="s">
        <v>134</v>
      </c>
      <c r="F17" s="9"/>
      <c r="G17" s="15" t="n">
        <f aca="false">COUNTIF(Chiffres!$I$5:$I$456,A17)</f>
        <v>3</v>
      </c>
    </row>
    <row r="18" customFormat="false" ht="15" hidden="false" customHeight="false" outlineLevel="0" collapsed="false">
      <c r="A18" s="9" t="s">
        <v>273</v>
      </c>
      <c r="B18" s="9" t="s">
        <v>724</v>
      </c>
      <c r="C18" s="9" t="s">
        <v>725</v>
      </c>
      <c r="D18" s="9" t="s">
        <v>275</v>
      </c>
      <c r="E18" s="9" t="s">
        <v>134</v>
      </c>
      <c r="F18" s="12" t="s">
        <v>276</v>
      </c>
      <c r="G18" s="15" t="n">
        <f aca="false">COUNTIF(Chiffres!$I$5:$I$456,A18)</f>
        <v>2</v>
      </c>
    </row>
    <row r="19" customFormat="false" ht="15" hidden="false" customHeight="false" outlineLevel="0" collapsed="false">
      <c r="A19" s="9" t="s">
        <v>378</v>
      </c>
      <c r="B19" s="9" t="s">
        <v>726</v>
      </c>
      <c r="C19" s="9" t="s">
        <v>727</v>
      </c>
      <c r="D19" s="9" t="s">
        <v>271</v>
      </c>
      <c r="E19" s="9" t="s">
        <v>169</v>
      </c>
      <c r="F19" s="12" t="s">
        <v>276</v>
      </c>
      <c r="G19" s="15" t="n">
        <f aca="false">COUNTIF(Chiffres!$I$5:$I$456,A19)</f>
        <v>1</v>
      </c>
    </row>
    <row r="20" customFormat="false" ht="23.85" hidden="false" customHeight="false" outlineLevel="0" collapsed="false">
      <c r="A20" s="9" t="s">
        <v>303</v>
      </c>
      <c r="B20" s="9" t="s">
        <v>724</v>
      </c>
      <c r="C20" s="9" t="s">
        <v>728</v>
      </c>
      <c r="D20" s="9" t="s">
        <v>305</v>
      </c>
      <c r="E20" s="9" t="s">
        <v>134</v>
      </c>
      <c r="F20" s="12" t="s">
        <v>306</v>
      </c>
      <c r="G20" s="15" t="n">
        <f aca="false">COUNTIF(Chiffres!$I$5:$I$456,A20)</f>
        <v>4</v>
      </c>
    </row>
    <row r="21" customFormat="false" ht="23.85" hidden="false" customHeight="false" outlineLevel="0" collapsed="false">
      <c r="A21" s="9" t="s">
        <v>296</v>
      </c>
      <c r="B21" s="9" t="s">
        <v>729</v>
      </c>
      <c r="C21" s="9" t="s">
        <v>730</v>
      </c>
      <c r="D21" s="9" t="s">
        <v>298</v>
      </c>
      <c r="E21" s="9" t="s">
        <v>169</v>
      </c>
      <c r="F21" s="12" t="s">
        <v>299</v>
      </c>
      <c r="G21" s="15" t="n">
        <f aca="false">COUNTIF(Chiffres!$I$5:$I$456,A21)</f>
        <v>2</v>
      </c>
    </row>
    <row r="22" customFormat="false" ht="15" hidden="false" customHeight="false" outlineLevel="0" collapsed="false">
      <c r="A22" s="9" t="s">
        <v>243</v>
      </c>
      <c r="B22" s="9" t="s">
        <v>731</v>
      </c>
      <c r="C22" s="9" t="s">
        <v>732</v>
      </c>
      <c r="D22" s="9" t="s">
        <v>105</v>
      </c>
      <c r="E22" s="9" t="s">
        <v>169</v>
      </c>
      <c r="F22" s="12" t="s">
        <v>245</v>
      </c>
      <c r="G22" s="15" t="n">
        <f aca="false">COUNTIF(Chiffres!$I$5:$I$456,A22)</f>
        <v>2</v>
      </c>
    </row>
    <row r="23" customFormat="false" ht="35.05" hidden="false" customHeight="false" outlineLevel="0" collapsed="false">
      <c r="A23" s="9" t="s">
        <v>252</v>
      </c>
      <c r="B23" s="9" t="s">
        <v>733</v>
      </c>
      <c r="C23" s="9" t="s">
        <v>734</v>
      </c>
      <c r="D23" s="9" t="s">
        <v>254</v>
      </c>
      <c r="E23" s="9" t="s">
        <v>162</v>
      </c>
      <c r="F23" s="12" t="s">
        <v>143</v>
      </c>
      <c r="G23" s="15" t="n">
        <f aca="false">COUNTIF(Chiffres!$I$5:$I$456,A23)</f>
        <v>1</v>
      </c>
    </row>
    <row r="24" customFormat="false" ht="23.85" hidden="false" customHeight="false" outlineLevel="0" collapsed="false">
      <c r="A24" s="9" t="s">
        <v>258</v>
      </c>
      <c r="B24" s="9" t="s">
        <v>735</v>
      </c>
      <c r="C24" s="9" t="s">
        <v>736</v>
      </c>
      <c r="D24" s="9" t="s">
        <v>82</v>
      </c>
      <c r="E24" s="9" t="s">
        <v>169</v>
      </c>
      <c r="F24" s="12" t="s">
        <v>260</v>
      </c>
      <c r="G24" s="15" t="n">
        <f aca="false">COUNTIF(Chiffres!$I$5:$I$456,A24)</f>
        <v>1</v>
      </c>
    </row>
    <row r="25" customFormat="false" ht="23.85" hidden="false" customHeight="false" outlineLevel="0" collapsed="false">
      <c r="A25" s="9" t="s">
        <v>323</v>
      </c>
      <c r="B25" s="9" t="s">
        <v>737</v>
      </c>
      <c r="C25" s="9" t="s">
        <v>738</v>
      </c>
      <c r="D25" s="9" t="s">
        <v>325</v>
      </c>
      <c r="E25" s="9" t="s">
        <v>169</v>
      </c>
      <c r="F25" s="12" t="s">
        <v>326</v>
      </c>
      <c r="G25" s="15" t="n">
        <f aca="false">COUNTIF(Chiffres!$I$5:$I$456,A25)</f>
        <v>4</v>
      </c>
    </row>
    <row r="26" customFormat="false" ht="35.05" hidden="false" customHeight="false" outlineLevel="0" collapsed="false">
      <c r="A26" s="9" t="s">
        <v>160</v>
      </c>
      <c r="B26" s="9" t="s">
        <v>739</v>
      </c>
      <c r="C26" s="9" t="s">
        <v>740</v>
      </c>
      <c r="D26" s="9" t="s">
        <v>105</v>
      </c>
      <c r="E26" s="9" t="s">
        <v>162</v>
      </c>
      <c r="F26" s="12" t="s">
        <v>163</v>
      </c>
      <c r="G26" s="15" t="n">
        <f aca="false">COUNTIF(Chiffres!$I$5:$I$456,A26)</f>
        <v>5</v>
      </c>
    </row>
    <row r="27" customFormat="false" ht="35.05" hidden="false" customHeight="false" outlineLevel="0" collapsed="false">
      <c r="A27" s="9" t="s">
        <v>224</v>
      </c>
      <c r="B27" s="9" t="s">
        <v>741</v>
      </c>
      <c r="C27" s="9" t="s">
        <v>742</v>
      </c>
      <c r="D27" s="9" t="s">
        <v>226</v>
      </c>
      <c r="E27" s="9" t="s">
        <v>162</v>
      </c>
      <c r="F27" s="12" t="s">
        <v>227</v>
      </c>
      <c r="G27" s="15" t="n">
        <f aca="false">COUNTIF(Chiffres!$I$5:$I$456,A27)</f>
        <v>10</v>
      </c>
    </row>
    <row r="28" customFormat="false" ht="35.05" hidden="false" customHeight="false" outlineLevel="0" collapsed="false">
      <c r="A28" s="9" t="s">
        <v>743</v>
      </c>
      <c r="B28" s="9" t="s">
        <v>741</v>
      </c>
      <c r="C28" s="9" t="s">
        <v>744</v>
      </c>
      <c r="D28" s="9" t="s">
        <v>254</v>
      </c>
      <c r="E28" s="9" t="s">
        <v>162</v>
      </c>
      <c r="F28" s="12" t="s">
        <v>745</v>
      </c>
      <c r="G28" s="15" t="n">
        <f aca="false">COUNTIF(Chiffres!$I$5:$I$456,A28)</f>
        <v>0</v>
      </c>
    </row>
    <row r="29" customFormat="false" ht="35.05" hidden="false" customHeight="false" outlineLevel="0" collapsed="false">
      <c r="A29" s="9" t="s">
        <v>746</v>
      </c>
      <c r="B29" s="9" t="s">
        <v>741</v>
      </c>
      <c r="C29" s="9" t="s">
        <v>747</v>
      </c>
      <c r="D29" s="9" t="s">
        <v>748</v>
      </c>
      <c r="E29" s="9" t="s">
        <v>162</v>
      </c>
      <c r="F29" s="12" t="s">
        <v>749</v>
      </c>
      <c r="G29" s="15" t="n">
        <f aca="false">COUNTIF(Chiffres!$I$5:$I$456,A29)</f>
        <v>0</v>
      </c>
    </row>
    <row r="30" customFormat="false" ht="35.05" hidden="false" customHeight="false" outlineLevel="0" collapsed="false">
      <c r="A30" s="9" t="s">
        <v>624</v>
      </c>
      <c r="B30" s="9" t="s">
        <v>750</v>
      </c>
      <c r="C30" s="9" t="s">
        <v>751</v>
      </c>
      <c r="D30" s="9" t="s">
        <v>626</v>
      </c>
      <c r="E30" s="9" t="s">
        <v>162</v>
      </c>
      <c r="F30" s="12" t="s">
        <v>627</v>
      </c>
      <c r="G30" s="15" t="n">
        <f aca="false">COUNTIF(Chiffres!$I$5:$I$456,A30)</f>
        <v>2</v>
      </c>
    </row>
    <row r="31" customFormat="false" ht="35.05" hidden="false" customHeight="false" outlineLevel="0" collapsed="false">
      <c r="A31" s="9" t="s">
        <v>281</v>
      </c>
      <c r="B31" s="9" t="s">
        <v>752</v>
      </c>
      <c r="C31" s="9" t="s">
        <v>753</v>
      </c>
      <c r="D31" s="9" t="s">
        <v>283</v>
      </c>
      <c r="E31" s="9" t="s">
        <v>162</v>
      </c>
      <c r="F31" s="12" t="s">
        <v>284</v>
      </c>
      <c r="G31" s="15" t="n">
        <f aca="false">COUNTIF(Chiffres!$I$5:$I$456,A31)</f>
        <v>1</v>
      </c>
    </row>
    <row r="32" customFormat="false" ht="15" hidden="false" customHeight="false" outlineLevel="0" collapsed="false">
      <c r="A32" s="9" t="s">
        <v>290</v>
      </c>
      <c r="B32" s="9" t="s">
        <v>754</v>
      </c>
      <c r="C32" s="9" t="s">
        <v>755</v>
      </c>
      <c r="D32" s="9" t="s">
        <v>292</v>
      </c>
      <c r="E32" s="9" t="s">
        <v>64</v>
      </c>
      <c r="F32" s="12" t="s">
        <v>293</v>
      </c>
      <c r="G32" s="15" t="n">
        <f aca="false">COUNTIF(Chiffres!$I$5:$I$456,A32)</f>
        <v>2</v>
      </c>
    </row>
    <row r="33" customFormat="false" ht="35.05" hidden="false" customHeight="false" outlineLevel="0" collapsed="false">
      <c r="A33" s="9" t="s">
        <v>756</v>
      </c>
      <c r="B33" s="9" t="s">
        <v>757</v>
      </c>
      <c r="C33" s="9" t="s">
        <v>758</v>
      </c>
      <c r="D33" s="9" t="s">
        <v>759</v>
      </c>
      <c r="E33" s="9" t="s">
        <v>162</v>
      </c>
      <c r="F33" s="12" t="s">
        <v>760</v>
      </c>
      <c r="G33" s="15" t="n">
        <f aca="false">COUNTIF(Chiffres!$I$5:$I$456,A33)</f>
        <v>0</v>
      </c>
    </row>
    <row r="34" customFormat="false" ht="15" hidden="false" customHeight="false" outlineLevel="0" collapsed="false">
      <c r="A34" s="9" t="s">
        <v>421</v>
      </c>
      <c r="B34" s="9" t="s">
        <v>761</v>
      </c>
      <c r="C34" s="9" t="s">
        <v>762</v>
      </c>
      <c r="D34" s="9" t="s">
        <v>423</v>
      </c>
      <c r="E34" s="9" t="s">
        <v>96</v>
      </c>
      <c r="F34" s="12" t="s">
        <v>424</v>
      </c>
      <c r="G34" s="15" t="n">
        <f aca="false">COUNTIF(Chiffres!$I$5:$I$456,A34)</f>
        <v>3</v>
      </c>
    </row>
    <row r="35" customFormat="false" ht="15" hidden="false" customHeight="false" outlineLevel="0" collapsed="false">
      <c r="A35" s="9" t="s">
        <v>403</v>
      </c>
      <c r="B35" s="9" t="s">
        <v>763</v>
      </c>
      <c r="C35" s="9" t="s">
        <v>764</v>
      </c>
      <c r="D35" s="9" t="s">
        <v>405</v>
      </c>
      <c r="E35" s="9" t="s">
        <v>169</v>
      </c>
      <c r="F35" s="12" t="s">
        <v>406</v>
      </c>
      <c r="G35" s="15" t="n">
        <f aca="false">COUNTIF(Chiffres!$I$5:$I$456,A35)</f>
        <v>1</v>
      </c>
    </row>
    <row r="36" customFormat="false" ht="15" hidden="false" customHeight="false" outlineLevel="0" collapsed="false">
      <c r="A36" s="9" t="s">
        <v>410</v>
      </c>
      <c r="B36" s="9" t="s">
        <v>765</v>
      </c>
      <c r="C36" s="9" t="s">
        <v>766</v>
      </c>
      <c r="D36" s="9" t="s">
        <v>412</v>
      </c>
      <c r="E36" s="9" t="s">
        <v>169</v>
      </c>
      <c r="F36" s="12" t="s">
        <v>413</v>
      </c>
      <c r="G36" s="15" t="n">
        <f aca="false">COUNTIF(Chiffres!$I$5:$I$456,A36)</f>
        <v>2</v>
      </c>
    </row>
    <row r="37" customFormat="false" ht="15" hidden="false" customHeight="false" outlineLevel="0" collapsed="false">
      <c r="A37" s="9" t="s">
        <v>395</v>
      </c>
      <c r="B37" s="9" t="s">
        <v>767</v>
      </c>
      <c r="C37" s="9" t="s">
        <v>768</v>
      </c>
      <c r="D37" s="9" t="s">
        <v>271</v>
      </c>
      <c r="E37" s="9" t="s">
        <v>64</v>
      </c>
      <c r="F37" s="12" t="s">
        <v>397</v>
      </c>
      <c r="G37" s="15" t="n">
        <f aca="false">COUNTIF(Chiffres!$I$5:$I$456,A37)</f>
        <v>2</v>
      </c>
    </row>
    <row r="38" customFormat="false" ht="15" hidden="false" customHeight="false" outlineLevel="0" collapsed="false">
      <c r="A38" s="9" t="s">
        <v>436</v>
      </c>
      <c r="B38" s="9" t="s">
        <v>769</v>
      </c>
      <c r="C38" s="9" t="s">
        <v>770</v>
      </c>
      <c r="D38" s="9" t="s">
        <v>271</v>
      </c>
      <c r="E38" s="9" t="s">
        <v>64</v>
      </c>
      <c r="F38" s="12" t="s">
        <v>438</v>
      </c>
      <c r="G38" s="15" t="n">
        <f aca="false">COUNTIF(Chiffres!$I$5:$I$456,A38)</f>
        <v>1</v>
      </c>
    </row>
    <row r="39" customFormat="false" ht="15" hidden="false" customHeight="false" outlineLevel="0" collapsed="false">
      <c r="A39" s="9" t="s">
        <v>600</v>
      </c>
      <c r="B39" s="9" t="s">
        <v>767</v>
      </c>
      <c r="C39" s="9" t="s">
        <v>771</v>
      </c>
      <c r="D39" s="9" t="s">
        <v>271</v>
      </c>
      <c r="E39" s="9" t="s">
        <v>64</v>
      </c>
      <c r="F39" s="12" t="s">
        <v>602</v>
      </c>
      <c r="G39" s="15" t="n">
        <f aca="false">COUNTIF(Chiffres!$I$5:$I$456,A39)</f>
        <v>4</v>
      </c>
    </row>
    <row r="40" customFormat="false" ht="15" hidden="false" customHeight="false" outlineLevel="0" collapsed="false">
      <c r="A40" s="9" t="s">
        <v>615</v>
      </c>
      <c r="B40" s="9" t="s">
        <v>737</v>
      </c>
      <c r="C40" s="9" t="s">
        <v>772</v>
      </c>
      <c r="D40" s="9" t="s">
        <v>82</v>
      </c>
      <c r="E40" s="9" t="s">
        <v>64</v>
      </c>
      <c r="F40" s="12" t="s">
        <v>617</v>
      </c>
      <c r="G40" s="15" t="n">
        <f aca="false">COUNTIF(Chiffres!$I$5:$I$456,A40)</f>
        <v>1</v>
      </c>
    </row>
    <row r="41" customFormat="false" ht="15" hidden="false" customHeight="false" outlineLevel="0" collapsed="false">
      <c r="A41" s="9" t="s">
        <v>639</v>
      </c>
      <c r="B41" s="9" t="s">
        <v>767</v>
      </c>
      <c r="C41" s="9" t="s">
        <v>773</v>
      </c>
      <c r="D41" s="9" t="s">
        <v>271</v>
      </c>
      <c r="E41" s="9" t="s">
        <v>64</v>
      </c>
      <c r="F41" s="12" t="s">
        <v>641</v>
      </c>
      <c r="G41" s="15" t="n">
        <f aca="false">COUNTIF(Chiffres!$I$5:$I$456,A41)</f>
        <v>2</v>
      </c>
    </row>
    <row r="42" customFormat="false" ht="15" hidden="false" customHeight="false" outlineLevel="0" collapsed="false">
      <c r="A42" s="9" t="s">
        <v>649</v>
      </c>
      <c r="B42" s="9" t="s">
        <v>737</v>
      </c>
      <c r="C42" s="9" t="s">
        <v>774</v>
      </c>
      <c r="D42" s="9" t="s">
        <v>82</v>
      </c>
      <c r="E42" s="9" t="s">
        <v>64</v>
      </c>
      <c r="F42" s="12" t="s">
        <v>651</v>
      </c>
      <c r="G42" s="15" t="n">
        <f aca="false">COUNTIF(Chiffres!$I$5:$I$456,A42)</f>
        <v>2</v>
      </c>
    </row>
    <row r="43" customFormat="false" ht="23.85" hidden="false" customHeight="false" outlineLevel="0" collapsed="false">
      <c r="A43" s="9" t="s">
        <v>657</v>
      </c>
      <c r="B43" s="9" t="s">
        <v>775</v>
      </c>
      <c r="C43" s="9" t="s">
        <v>776</v>
      </c>
      <c r="D43" s="9" t="s">
        <v>659</v>
      </c>
      <c r="E43" s="9" t="s">
        <v>64</v>
      </c>
      <c r="F43" s="12" t="s">
        <v>660</v>
      </c>
      <c r="G43" s="15" t="n">
        <f aca="false">COUNTIF(Chiffres!$I$5:$I$456,A43)</f>
        <v>1</v>
      </c>
    </row>
    <row r="44" customFormat="false" ht="15" hidden="false" customHeight="false" outlineLevel="0" collapsed="false">
      <c r="A44" s="9" t="s">
        <v>492</v>
      </c>
      <c r="B44" s="9" t="s">
        <v>737</v>
      </c>
      <c r="C44" s="9" t="s">
        <v>777</v>
      </c>
      <c r="D44" s="9" t="s">
        <v>146</v>
      </c>
      <c r="E44" s="9" t="s">
        <v>169</v>
      </c>
      <c r="F44" s="12" t="s">
        <v>494</v>
      </c>
      <c r="G44" s="15" t="n">
        <f aca="false">COUNTIF(Chiffres!$I$5:$I$456,A44)</f>
        <v>3</v>
      </c>
    </row>
    <row r="45" customFormat="false" ht="23.85" hidden="false" customHeight="false" outlineLevel="0" collapsed="false">
      <c r="A45" s="9" t="s">
        <v>535</v>
      </c>
      <c r="B45" s="9" t="s">
        <v>778</v>
      </c>
      <c r="C45" s="9" t="s">
        <v>779</v>
      </c>
      <c r="D45" s="9" t="s">
        <v>275</v>
      </c>
      <c r="E45" s="9" t="s">
        <v>96</v>
      </c>
      <c r="F45" s="12" t="s">
        <v>537</v>
      </c>
      <c r="G45" s="15" t="n">
        <f aca="false">COUNTIF(Chiffres!$I$5:$I$456,A45)</f>
        <v>1</v>
      </c>
    </row>
    <row r="46" customFormat="false" ht="23.85" hidden="false" customHeight="false" outlineLevel="0" collapsed="false">
      <c r="A46" s="9" t="s">
        <v>546</v>
      </c>
      <c r="B46" s="9" t="s">
        <v>701</v>
      </c>
      <c r="C46" s="9" t="s">
        <v>780</v>
      </c>
      <c r="D46" s="9" t="s">
        <v>82</v>
      </c>
      <c r="E46" s="9" t="s">
        <v>64</v>
      </c>
      <c r="F46" s="12" t="s">
        <v>548</v>
      </c>
      <c r="G46" s="15" t="n">
        <f aca="false">COUNTIF(Chiffres!$I$5:$I$456,A46)</f>
        <v>2</v>
      </c>
    </row>
    <row r="47" customFormat="false" ht="35.05" hidden="false" customHeight="false" outlineLevel="0" collapsed="false">
      <c r="A47" s="9" t="s">
        <v>781</v>
      </c>
      <c r="B47" s="9" t="s">
        <v>782</v>
      </c>
      <c r="C47" s="9" t="s">
        <v>783</v>
      </c>
      <c r="D47" s="9" t="s">
        <v>784</v>
      </c>
      <c r="E47" s="9" t="s">
        <v>162</v>
      </c>
      <c r="F47" s="12" t="s">
        <v>785</v>
      </c>
      <c r="G47" s="15" t="n">
        <f aca="false">COUNTIF(Chiffres!$I$5:$I$456,A47)</f>
        <v>0</v>
      </c>
    </row>
    <row r="48" customFormat="false" ht="15" hidden="false" customHeight="false" outlineLevel="0" collapsed="false">
      <c r="A48" s="9" t="s">
        <v>167</v>
      </c>
      <c r="B48" s="9" t="s">
        <v>786</v>
      </c>
      <c r="C48" s="9" t="s">
        <v>787</v>
      </c>
      <c r="D48" s="9" t="s">
        <v>82</v>
      </c>
      <c r="E48" s="9" t="s">
        <v>169</v>
      </c>
      <c r="F48" s="12" t="s">
        <v>170</v>
      </c>
      <c r="G48" s="15" t="n">
        <f aca="false">COUNTIF(Chiffres!$I$5:$I$456,A48)</f>
        <v>1</v>
      </c>
    </row>
    <row r="49" customFormat="false" ht="23.85" hidden="false" customHeight="false" outlineLevel="0" collapsed="false">
      <c r="A49" s="9" t="s">
        <v>505</v>
      </c>
      <c r="B49" s="9" t="s">
        <v>788</v>
      </c>
      <c r="C49" s="9" t="s">
        <v>789</v>
      </c>
      <c r="D49" s="9" t="s">
        <v>507</v>
      </c>
      <c r="E49" s="9" t="s">
        <v>508</v>
      </c>
      <c r="F49" s="12" t="s">
        <v>509</v>
      </c>
      <c r="G49" s="15" t="n">
        <f aca="false">COUNTIF(Chiffres!$I$5:$I$456,A49)</f>
        <v>5</v>
      </c>
    </row>
    <row r="50" customFormat="false" ht="23.85" hidden="false" customHeight="false" outlineLevel="0" collapsed="false">
      <c r="A50" s="9" t="s">
        <v>443</v>
      </c>
      <c r="B50" s="9" t="s">
        <v>790</v>
      </c>
      <c r="C50" s="9" t="s">
        <v>791</v>
      </c>
      <c r="D50" s="9" t="s">
        <v>82</v>
      </c>
      <c r="E50" s="9" t="s">
        <v>169</v>
      </c>
      <c r="F50" s="12" t="s">
        <v>445</v>
      </c>
      <c r="G50" s="15" t="n">
        <f aca="false">COUNTIF(Chiffres!$I$5:$I$456,A50)</f>
        <v>1</v>
      </c>
    </row>
    <row r="51" customFormat="false" ht="15" hidden="false" customHeight="false" outlineLevel="0" collapsed="false">
      <c r="A51" s="9" t="s">
        <v>451</v>
      </c>
      <c r="B51" s="9" t="s">
        <v>767</v>
      </c>
      <c r="C51" s="9" t="s">
        <v>792</v>
      </c>
      <c r="D51" s="9" t="s">
        <v>453</v>
      </c>
      <c r="E51" s="9" t="s">
        <v>64</v>
      </c>
      <c r="F51" s="12" t="s">
        <v>454</v>
      </c>
      <c r="G51" s="15" t="n">
        <f aca="false">COUNTIF(Chiffres!$I$5:$I$456,A51)</f>
        <v>1</v>
      </c>
    </row>
    <row r="52" customFormat="false" ht="35.05" hidden="false" customHeight="false" outlineLevel="0" collapsed="false">
      <c r="A52" s="9" t="s">
        <v>793</v>
      </c>
      <c r="B52" s="9" t="s">
        <v>741</v>
      </c>
      <c r="C52" s="9" t="s">
        <v>794</v>
      </c>
      <c r="D52" s="9" t="s">
        <v>795</v>
      </c>
      <c r="E52" s="9" t="s">
        <v>162</v>
      </c>
      <c r="F52" s="12" t="s">
        <v>796</v>
      </c>
      <c r="G52" s="15" t="n">
        <f aca="false">COUNTIF(Chiffres!$I$5:$I$456,A52)</f>
        <v>0</v>
      </c>
    </row>
    <row r="53" customFormat="false" ht="35.05" hidden="false" customHeight="false" outlineLevel="0" collapsed="false">
      <c r="A53" s="9" t="s">
        <v>797</v>
      </c>
      <c r="B53" s="9" t="s">
        <v>798</v>
      </c>
      <c r="C53" s="9" t="s">
        <v>799</v>
      </c>
      <c r="D53" s="9" t="s">
        <v>82</v>
      </c>
      <c r="E53" s="9" t="s">
        <v>162</v>
      </c>
      <c r="F53" s="12" t="s">
        <v>800</v>
      </c>
      <c r="G53" s="15" t="n">
        <f aca="false">COUNTIF(Chiffres!$I$5:$I$456,A53)</f>
        <v>0</v>
      </c>
    </row>
    <row r="54" customFormat="false" ht="23.85" hidden="false" customHeight="false" outlineLevel="0" collapsed="false">
      <c r="A54" s="9" t="s">
        <v>801</v>
      </c>
      <c r="B54" s="9" t="s">
        <v>802</v>
      </c>
      <c r="C54" s="9" t="s">
        <v>803</v>
      </c>
      <c r="D54" s="9" t="s">
        <v>804</v>
      </c>
      <c r="E54" s="9" t="s">
        <v>236</v>
      </c>
      <c r="F54" s="9"/>
      <c r="G54" s="15" t="n">
        <f aca="false">COUNTIF(Chiffres!$I$5:$I$456,A54)</f>
        <v>0</v>
      </c>
    </row>
    <row r="55" customFormat="false" ht="23.85" hidden="false" customHeight="false" outlineLevel="0" collapsed="false">
      <c r="A55" s="9" t="s">
        <v>805</v>
      </c>
      <c r="B55" s="9" t="s">
        <v>806</v>
      </c>
      <c r="C55" s="9" t="s">
        <v>807</v>
      </c>
      <c r="D55" s="9" t="s">
        <v>90</v>
      </c>
      <c r="E55" s="9" t="s">
        <v>236</v>
      </c>
      <c r="F55" s="9"/>
      <c r="G55" s="15" t="n">
        <f aca="false">COUNTIF(Chiffres!$I$5:$I$456,A55)</f>
        <v>0</v>
      </c>
    </row>
    <row r="56" customFormat="false" ht="23.85" hidden="false" customHeight="false" outlineLevel="0" collapsed="false">
      <c r="A56" s="9" t="s">
        <v>808</v>
      </c>
      <c r="B56" s="9" t="s">
        <v>809</v>
      </c>
      <c r="C56" s="9" t="s">
        <v>810</v>
      </c>
      <c r="D56" s="9" t="s">
        <v>90</v>
      </c>
      <c r="E56" s="9" t="s">
        <v>96</v>
      </c>
      <c r="F56" s="9"/>
      <c r="G56" s="15" t="n">
        <f aca="false">COUNTIF(Chiffres!$I$5:$I$456,A56)</f>
        <v>0</v>
      </c>
    </row>
    <row r="57" customFormat="false" ht="35.05" hidden="false" customHeight="false" outlineLevel="0" collapsed="false">
      <c r="A57" s="9" t="s">
        <v>349</v>
      </c>
      <c r="B57" s="9" t="s">
        <v>811</v>
      </c>
      <c r="C57" s="9" t="s">
        <v>812</v>
      </c>
      <c r="D57" s="9" t="s">
        <v>275</v>
      </c>
      <c r="E57" s="9" t="s">
        <v>162</v>
      </c>
      <c r="F57" s="12" t="s">
        <v>351</v>
      </c>
      <c r="G57" s="15" t="n">
        <f aca="false">COUNTIF(Chiffres!$I$5:$I$456,A57)</f>
        <v>1</v>
      </c>
    </row>
  </sheetData>
  <autoFilter ref="A4:G57"/>
  <dataValidations count="1">
    <dataValidation allowBlank="true" errorStyle="stop" operator="between" showDropDown="false" showErrorMessage="false" showInputMessage="false" sqref="E5:E157" type="list">
      <formula1>Listes!$B$1:$B$7</formula1>
      <formula2>0</formula2>
    </dataValidation>
  </dataValidations>
  <hyperlinks>
    <hyperlink ref="F5" r:id="rId1" display="https://www.cerema.fr/fr/actualites/accompagner-mutation-zones-commerciales-peripherie"/>
    <hyperlink ref="F6" r:id="rId2" display="https://www.cerema.fr/fr/actualites/donnees-geolocalisation-1500-zones-commerciales-peripherie"/>
    <hyperlink ref="F7" r:id="rId3" display="https://www.cerema.fr/fr/actualites/zones-commerciales-centres-villes-trouver-bon-equilibre"/>
    <hyperlink ref="F8" r:id="rId4" display="https://www.cerema.fr/fr/actualites/potentiel-reindustrialisation-friches"/>
    <hyperlink ref="F9" r:id="rId5" display="https://www.insee.fr/fr/statistiques/5386414"/>
    <hyperlink ref="F10" r:id="rId6" display="https://www.insee.fr/fr/statistiques/4248184"/>
    <hyperlink ref="F11" r:id="rId7" display="https://www.insee.fr/fr/statistiques/8730497"/>
    <hyperlink ref="F12" r:id="rId8" display="https://www.info.gouv.fr/upload/media/content/0001/07/2dc90efc2c1a0e97572bf027240fac63e4dc9d75.pdf"/>
    <hyperlink ref="F13" r:id="rId9" display="https://www.procos.org/images/procos/presse/2025/Conf_0225/procos_dp_120225_site.pdf"/>
    <hyperlink ref="F14" r:id="rId10" display="https://www.entreprises.gouv.fr/files/files/Publications/2025/rapports-activite/ra-cnac-2024.pdf"/>
    <hyperlink ref="F15" r:id="rId11" display="https://www.icade.fr/content/download/7372/file/barom%C3%A8tre-entr%C3%A9es-de-ville-2e-edition-cap-sur-projets.pdf"/>
    <hyperlink ref="F16" r:id="rId12" display="https://www.cae-eco.fr/"/>
    <hyperlink ref="F18" r:id="rId13" display="https://lechommerces.fr/la-vacance-commerciale-progresse-de-nouveau-en-france/"/>
    <hyperlink ref="F19" r:id="rId14" display="https://lechommerces.fr/la-vacance-commerciale-progresse-de-nouveau-en-france/"/>
    <hyperlink ref="F20" r:id="rId15" display="https://www.codata.eu/blog/quel-bilan-tirer-du-plan-acv-sur-la-vacance-commerciale-des-centres-villes-de-villes-moyennes/"/>
    <hyperlink ref="F21" r:id="rId16" display="https://pointsdevente.fr/fil-info/2024-05-23-la-hausse-de-la-vacance-commerciale-reprend-dans-les-centres-villes/"/>
    <hyperlink ref="F22" r:id="rId17" display="https://www.publicsenat.fr/actualites/territoires/revitalisation-des-centres-villes-un-rapport-du-senat-pointe-un-sous"/>
    <hyperlink ref="F23" r:id="rId18" display="https://www.cerema.fr/fr/actualites/zones-commerciales-centres-villes-trouver-bon-equilibre"/>
    <hyperlink ref="F24" r:id="rId19" display="https://www.banquedesterritoires.fr/vacance-commerciale-les-remedes-de-linstitut-pour-la-ville-et-le-commerce"/>
    <hyperlink ref="F25" r:id="rId20" display="https://www.banquedesterritoires.fr/la-progression-de-la-vacance-commerciale-ralentit-surtout-dans-les-villes-moyennes"/>
    <hyperlink ref="F26" r:id="rId21" display="https://www.senat.fr/rap/r21-910/r21-9109.html"/>
    <hyperlink ref="F27" r:id="rId22" display="https://www.ccomptes.fr/sites/default/files/2023-10/20230929-politiques-publiques-commerce-proximite.pdf"/>
    <hyperlink ref="F28" r:id="rId23" display="https://www.ccomptes.fr/sites/default/files/EzPublish/07-politique-de-la-ville-RPA2016-Tome-2.pdf"/>
    <hyperlink ref="F29" r:id="rId24" display="https://www.ccomptes.fr/fr/publications/levaluation-de-lattractivite-des-quartiers-prioritaires"/>
    <hyperlink ref="F30" r:id="rId25" display="https://www.aefinfo.fr/depeche/679781-action-coeur-de-ville-un-programme-ambitieux-mais-difficile-a-evaluer-selon-la-cour-des-comptes"/>
    <hyperlink ref="F31" r:id="rId26" display="https://www.banquedesterritoires.fr/sites/default/files/2025-11/Rapport-mission-commerce-de-proximite-centres-villes-QPVf.pdf"/>
    <hyperlink ref="F32" r:id="rId27" display="https://www.entreprises.gouv.fr/la-dge/actualites/mission-sur-lavenir-du-commerce-de-proximite-neuf-mesures-retenues-pour"/>
    <hyperlink ref="F33" r:id="rId28" display="https://www.senat.fr/rap/r06-049-1/r06-049-1_mono.html"/>
    <hyperlink ref="F34" r:id="rId29" display="https://www.onpv.fr/uploads/media_items/onpv-dossier-entreprises-2023.original.pdf"/>
    <hyperlink ref="F35" r:id="rId30" display="https://www.inegalites.fr/Chomage-QPV"/>
    <hyperlink ref="F36" r:id="rId31" display="https://www.inegalites.fr/Les-revenus-et-la-pauvrete-dans-les-quartiers-les-plus-en-difficulte"/>
    <hyperlink ref="F37" r:id="rId32" display="https://anct.gouv.fr/quartiers-prioritaires"/>
    <hyperlink ref="F38" r:id="rId33" display="https://www.anru.fr/la-docutheque/le-commerce-dans-les-quartiers-prioritaires-en-renouvellement-urbain"/>
    <hyperlink ref="F39" r:id="rId34" display="https://anct.gouv.fr/programmes-dispositifs/action-coeur-de-ville"/>
    <hyperlink ref="F40" r:id="rId35" display="https://www.banquedesterritoires.fr/programme-action-coeur-de-ville-2026"/>
    <hyperlink ref="F41" r:id="rId36" display="https://anct.gouv.fr/actualites/petites-villes-de-demain-3-ans-d-engagement-et-11-milliard-d-euros-investis"/>
    <hyperlink ref="F42" r:id="rId37" display="https://www.banquedesterritoires.fr/la-banque-des-territoires-deploie-un-milliard-deuros-pour-soutenir-le-commerce"/>
    <hyperlink ref="F43" r:id="rId38" display="https://www.entreprises.gouv.fr/la-direction-generale-des-entreprises/actualites/annonce-74-laureats-plan-transformation-zones-commerciales"/>
    <hyperlink ref="F44" r:id="rId39" display="https://www.banquedesterritoires.fr/2023-annee-de-transition-de-lamenagement-commercial"/>
    <hyperlink ref="F45" r:id="rId40" display="https://artificialisation.developpement-durable.gouv.fr/actualites/parution-des-donnees-consommation-despaces-naturels-agricoles-et-forestiers-2011-2025"/>
    <hyperlink ref="F46" r:id="rId41" display="https://www.cerema.fr/fr/actualites/artificialisation-sols-quelle-dynamique"/>
    <hyperlink ref="F47" r:id="rId42" display="https://www.assemblee-nationale.fr/dyn/15/rapports/cion-dvp/l15b4968_rapport-information.pdf"/>
    <hyperlink ref="F48" r:id="rId43" display="https://www.lsa-conso.fr/la-peripherie-urbaine-aimante-le-commerce,323561"/>
    <hyperlink ref="F49" r:id="rId44" display="https://www.legifrance.gouv.fr"/>
    <hyperlink ref="F50" r:id="rId45" display="https://www.lsa-conso.fr/l-epareca-aide-les-quartiers-sensibles,34533"/>
    <hyperlink ref="F51" r:id="rId46" display="https://media.anct.gouv.fr/s3fs-public/2024-10/DP_ANCT_LE%20MANS_2024_v4%20(7).pdf"/>
    <hyperlink ref="F52" r:id="rId47" display="https://www.vie-publique.fr/rapport/24822-le-developpement-des-activites-commerciales-en-centre-ville-rapport-au"/>
    <hyperlink ref="F53" r:id="rId48" display="https://www.igf.finances.gouv.fr/igf/accueil/nos-activites/rapports-de-missions/liste-de-tous-les-rapports-de-mi/la-revitalisation-commerciale-de.html"/>
    <hyperlink ref="F57" r:id="rId49" display="https://www.ccomptes.fr/fr/publications/le-rapport-public-annuel-20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44"/>
    <col collapsed="false" customWidth="true" hidden="false" outlineLevel="0" max="5" min="5" style="0" width="26"/>
    <col collapsed="false" customWidth="true" hidden="false" outlineLevel="0" max="6" min="6" style="0" width="44"/>
    <col collapsed="false" customWidth="true" hidden="false" outlineLevel="0" max="7" min="7" style="0" width="30"/>
    <col collapsed="false" customWidth="true" hidden="false" outlineLevel="0" max="8" min="8" style="0" width="22"/>
    <col collapsed="false" customWidth="true" hidden="false" outlineLevel="0" max="9" min="9" style="0" width="10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6" t="s">
        <v>813</v>
      </c>
    </row>
    <row r="2" customFormat="false" ht="15" hidden="false" customHeight="false" outlineLevel="0" collapsed="false">
      <c r="A2" s="7" t="s">
        <v>814</v>
      </c>
    </row>
    <row r="4" customFormat="false" ht="31.5" hidden="false" customHeight="true" outlineLevel="0" collapsed="false">
      <c r="A4" s="8" t="s">
        <v>44</v>
      </c>
      <c r="B4" s="8" t="s">
        <v>815</v>
      </c>
      <c r="C4" s="8" t="s">
        <v>816</v>
      </c>
      <c r="D4" s="8" t="s">
        <v>817</v>
      </c>
      <c r="E4" s="8" t="s">
        <v>818</v>
      </c>
      <c r="F4" s="8" t="s">
        <v>819</v>
      </c>
      <c r="G4" s="8" t="s">
        <v>820</v>
      </c>
      <c r="H4" s="8" t="s">
        <v>821</v>
      </c>
      <c r="I4" s="8" t="s">
        <v>822</v>
      </c>
      <c r="J4" s="8" t="s">
        <v>823</v>
      </c>
    </row>
    <row r="5" customFormat="false" ht="23.85" hidden="false" customHeight="false" outlineLevel="0" collapsed="false">
      <c r="A5" s="9" t="n">
        <v>1</v>
      </c>
      <c r="B5" s="9" t="s">
        <v>824</v>
      </c>
      <c r="C5" s="9" t="s">
        <v>825</v>
      </c>
      <c r="D5" s="9" t="s">
        <v>826</v>
      </c>
      <c r="E5" s="9" t="s">
        <v>827</v>
      </c>
      <c r="F5" s="9" t="s">
        <v>828</v>
      </c>
      <c r="G5" s="9" t="s">
        <v>829</v>
      </c>
      <c r="H5" s="9" t="s">
        <v>830</v>
      </c>
      <c r="I5" s="16" t="s">
        <v>831</v>
      </c>
      <c r="J5" s="9" t="s">
        <v>832</v>
      </c>
    </row>
    <row r="6" customFormat="false" ht="23.85" hidden="false" customHeight="false" outlineLevel="0" collapsed="false">
      <c r="A6" s="9" t="n">
        <v>2</v>
      </c>
      <c r="B6" s="9" t="s">
        <v>824</v>
      </c>
      <c r="C6" s="9" t="s">
        <v>833</v>
      </c>
      <c r="D6" s="9" t="s">
        <v>834</v>
      </c>
      <c r="E6" s="9" t="s">
        <v>835</v>
      </c>
      <c r="F6" s="9" t="s">
        <v>836</v>
      </c>
      <c r="G6" s="9" t="s">
        <v>837</v>
      </c>
      <c r="H6" s="9" t="s">
        <v>830</v>
      </c>
      <c r="I6" s="16" t="s">
        <v>831</v>
      </c>
      <c r="J6" s="9" t="s">
        <v>838</v>
      </c>
    </row>
    <row r="7" customFormat="false" ht="35.05" hidden="false" customHeight="false" outlineLevel="0" collapsed="false">
      <c r="A7" s="9" t="n">
        <v>3</v>
      </c>
      <c r="B7" s="9" t="s">
        <v>824</v>
      </c>
      <c r="C7" s="9" t="s">
        <v>839</v>
      </c>
      <c r="D7" s="9" t="s">
        <v>840</v>
      </c>
      <c r="E7" s="9" t="s">
        <v>841</v>
      </c>
      <c r="F7" s="9" t="s">
        <v>842</v>
      </c>
      <c r="G7" s="9" t="s">
        <v>843</v>
      </c>
      <c r="H7" s="9" t="s">
        <v>830</v>
      </c>
      <c r="I7" s="16" t="s">
        <v>831</v>
      </c>
      <c r="J7" s="9" t="s">
        <v>844</v>
      </c>
    </row>
    <row r="8" customFormat="false" ht="35.05" hidden="false" customHeight="false" outlineLevel="0" collapsed="false">
      <c r="A8" s="9" t="n">
        <v>4</v>
      </c>
      <c r="B8" s="9" t="s">
        <v>824</v>
      </c>
      <c r="C8" s="9" t="s">
        <v>845</v>
      </c>
      <c r="D8" s="9" t="s">
        <v>846</v>
      </c>
      <c r="E8" s="9" t="s">
        <v>847</v>
      </c>
      <c r="F8" s="9" t="s">
        <v>848</v>
      </c>
      <c r="G8" s="9" t="s">
        <v>849</v>
      </c>
      <c r="H8" s="9" t="s">
        <v>830</v>
      </c>
      <c r="I8" s="16" t="s">
        <v>831</v>
      </c>
      <c r="J8" s="9" t="s">
        <v>850</v>
      </c>
    </row>
    <row r="9" customFormat="false" ht="23.85" hidden="false" customHeight="false" outlineLevel="0" collapsed="false">
      <c r="A9" s="9" t="n">
        <v>5</v>
      </c>
      <c r="B9" s="9" t="s">
        <v>824</v>
      </c>
      <c r="C9" s="9" t="s">
        <v>851</v>
      </c>
      <c r="D9" s="9" t="s">
        <v>852</v>
      </c>
      <c r="E9" s="9" t="s">
        <v>853</v>
      </c>
      <c r="F9" s="9" t="s">
        <v>854</v>
      </c>
      <c r="G9" s="9" t="s">
        <v>855</v>
      </c>
      <c r="H9" s="9" t="s">
        <v>856</v>
      </c>
      <c r="I9" s="17" t="s">
        <v>857</v>
      </c>
      <c r="J9" s="9" t="s">
        <v>858</v>
      </c>
    </row>
    <row r="10" customFormat="false" ht="23.85" hidden="false" customHeight="false" outlineLevel="0" collapsed="false">
      <c r="A10" s="9" t="n">
        <v>6</v>
      </c>
      <c r="B10" s="9" t="s">
        <v>824</v>
      </c>
      <c r="C10" s="9" t="s">
        <v>859</v>
      </c>
      <c r="D10" s="9" t="s">
        <v>860</v>
      </c>
      <c r="E10" s="9" t="s">
        <v>853</v>
      </c>
      <c r="F10" s="9" t="s">
        <v>861</v>
      </c>
      <c r="G10" s="9" t="s">
        <v>862</v>
      </c>
      <c r="H10" s="9" t="s">
        <v>830</v>
      </c>
      <c r="I10" s="17" t="s">
        <v>857</v>
      </c>
      <c r="J10" s="9" t="s">
        <v>863</v>
      </c>
    </row>
    <row r="11" customFormat="false" ht="23.85" hidden="false" customHeight="false" outlineLevel="0" collapsed="false">
      <c r="A11" s="9" t="n">
        <v>7</v>
      </c>
      <c r="B11" s="9" t="s">
        <v>824</v>
      </c>
      <c r="C11" s="9" t="s">
        <v>864</v>
      </c>
      <c r="D11" s="9" t="s">
        <v>865</v>
      </c>
      <c r="E11" s="9" t="s">
        <v>701</v>
      </c>
      <c r="F11" s="9" t="s">
        <v>866</v>
      </c>
      <c r="G11" s="9" t="s">
        <v>867</v>
      </c>
      <c r="H11" s="9" t="s">
        <v>830</v>
      </c>
      <c r="I11" s="16" t="s">
        <v>831</v>
      </c>
      <c r="J11" s="9" t="s">
        <v>868</v>
      </c>
    </row>
    <row r="12" customFormat="false" ht="23.85" hidden="false" customHeight="false" outlineLevel="0" collapsed="false">
      <c r="A12" s="9" t="n">
        <v>8</v>
      </c>
      <c r="B12" s="9" t="s">
        <v>824</v>
      </c>
      <c r="C12" s="9" t="s">
        <v>869</v>
      </c>
      <c r="D12" s="9" t="s">
        <v>870</v>
      </c>
      <c r="E12" s="9" t="s">
        <v>871</v>
      </c>
      <c r="F12" s="9" t="s">
        <v>872</v>
      </c>
      <c r="G12" s="9" t="s">
        <v>873</v>
      </c>
      <c r="H12" s="9" t="s">
        <v>830</v>
      </c>
      <c r="I12" s="17" t="s">
        <v>857</v>
      </c>
      <c r="J12" s="9" t="s">
        <v>874</v>
      </c>
    </row>
    <row r="13" customFormat="false" ht="23.85" hidden="false" customHeight="false" outlineLevel="0" collapsed="false">
      <c r="A13" s="9" t="n">
        <v>9</v>
      </c>
      <c r="B13" s="9" t="s">
        <v>824</v>
      </c>
      <c r="C13" s="9" t="s">
        <v>875</v>
      </c>
      <c r="D13" s="9" t="s">
        <v>876</v>
      </c>
      <c r="E13" s="9" t="s">
        <v>877</v>
      </c>
      <c r="F13" s="9" t="s">
        <v>878</v>
      </c>
      <c r="G13" s="9" t="s">
        <v>879</v>
      </c>
      <c r="H13" s="9" t="s">
        <v>830</v>
      </c>
      <c r="I13" s="17" t="s">
        <v>857</v>
      </c>
      <c r="J13" s="9" t="s">
        <v>880</v>
      </c>
    </row>
    <row r="14" customFormat="false" ht="23.85" hidden="false" customHeight="false" outlineLevel="0" collapsed="false">
      <c r="A14" s="9" t="n">
        <v>10</v>
      </c>
      <c r="B14" s="9" t="s">
        <v>824</v>
      </c>
      <c r="C14" s="9" t="s">
        <v>881</v>
      </c>
      <c r="D14" s="9" t="s">
        <v>882</v>
      </c>
      <c r="E14" s="9" t="s">
        <v>853</v>
      </c>
      <c r="F14" s="9" t="s">
        <v>883</v>
      </c>
      <c r="G14" s="9" t="s">
        <v>884</v>
      </c>
      <c r="H14" s="9" t="s">
        <v>885</v>
      </c>
      <c r="I14" s="17" t="s">
        <v>857</v>
      </c>
      <c r="J14" s="9" t="s">
        <v>886</v>
      </c>
    </row>
    <row r="15" customFormat="false" ht="23.85" hidden="false" customHeight="false" outlineLevel="0" collapsed="false">
      <c r="A15" s="9" t="n">
        <v>11</v>
      </c>
      <c r="B15" s="9" t="s">
        <v>824</v>
      </c>
      <c r="C15" s="9" t="s">
        <v>887</v>
      </c>
      <c r="D15" s="9" t="s">
        <v>888</v>
      </c>
      <c r="E15" s="9" t="s">
        <v>889</v>
      </c>
      <c r="F15" s="9" t="s">
        <v>890</v>
      </c>
      <c r="G15" s="9" t="s">
        <v>884</v>
      </c>
      <c r="H15" s="9" t="s">
        <v>891</v>
      </c>
      <c r="I15" s="17" t="s">
        <v>857</v>
      </c>
      <c r="J15" s="9" t="s">
        <v>892</v>
      </c>
    </row>
    <row r="16" customFormat="false" ht="35.05" hidden="false" customHeight="false" outlineLevel="0" collapsed="false">
      <c r="A16" s="9" t="n">
        <v>12</v>
      </c>
      <c r="B16" s="9" t="s">
        <v>824</v>
      </c>
      <c r="C16" s="9" t="s">
        <v>893</v>
      </c>
      <c r="D16" s="9" t="s">
        <v>894</v>
      </c>
      <c r="E16" s="9" t="s">
        <v>895</v>
      </c>
      <c r="F16" s="9" t="s">
        <v>896</v>
      </c>
      <c r="G16" s="9" t="s">
        <v>897</v>
      </c>
      <c r="H16" s="9" t="s">
        <v>898</v>
      </c>
      <c r="I16" s="17" t="s">
        <v>857</v>
      </c>
      <c r="J16" s="9" t="s">
        <v>899</v>
      </c>
    </row>
    <row r="17" customFormat="false" ht="23.85" hidden="false" customHeight="false" outlineLevel="0" collapsed="false">
      <c r="A17" s="9" t="n">
        <v>13</v>
      </c>
      <c r="B17" s="9" t="s">
        <v>824</v>
      </c>
      <c r="C17" s="9" t="s">
        <v>900</v>
      </c>
      <c r="D17" s="9" t="s">
        <v>901</v>
      </c>
      <c r="E17" s="9" t="s">
        <v>902</v>
      </c>
      <c r="F17" s="9" t="s">
        <v>903</v>
      </c>
      <c r="G17" s="9" t="s">
        <v>904</v>
      </c>
      <c r="H17" s="9" t="s">
        <v>898</v>
      </c>
      <c r="I17" s="16" t="s">
        <v>831</v>
      </c>
      <c r="J17" s="9" t="s">
        <v>905</v>
      </c>
    </row>
    <row r="18" customFormat="false" ht="23.85" hidden="false" customHeight="false" outlineLevel="0" collapsed="false">
      <c r="A18" s="9" t="n">
        <v>14</v>
      </c>
      <c r="B18" s="9" t="s">
        <v>824</v>
      </c>
      <c r="C18" s="9" t="s">
        <v>906</v>
      </c>
      <c r="D18" s="9" t="s">
        <v>907</v>
      </c>
      <c r="E18" s="9" t="s">
        <v>908</v>
      </c>
      <c r="F18" s="9" t="s">
        <v>909</v>
      </c>
      <c r="G18" s="9" t="s">
        <v>910</v>
      </c>
      <c r="H18" s="9" t="s">
        <v>830</v>
      </c>
      <c r="I18" s="18" t="s">
        <v>911</v>
      </c>
      <c r="J18" s="9" t="s">
        <v>912</v>
      </c>
    </row>
    <row r="19" customFormat="false" ht="15" hidden="false" customHeight="false" outlineLevel="0" collapsed="false">
      <c r="A19" s="9" t="n">
        <v>15</v>
      </c>
      <c r="B19" s="9" t="s">
        <v>824</v>
      </c>
      <c r="C19" s="9" t="s">
        <v>913</v>
      </c>
      <c r="D19" s="9" t="s">
        <v>914</v>
      </c>
      <c r="E19" s="9" t="s">
        <v>915</v>
      </c>
      <c r="F19" s="9" t="s">
        <v>916</v>
      </c>
      <c r="G19" s="9" t="s">
        <v>917</v>
      </c>
      <c r="H19" s="9" t="s">
        <v>830</v>
      </c>
      <c r="I19" s="16" t="s">
        <v>831</v>
      </c>
      <c r="J19" s="9" t="s">
        <v>918</v>
      </c>
    </row>
    <row r="20" customFormat="false" ht="23.85" hidden="false" customHeight="false" outlineLevel="0" collapsed="false">
      <c r="A20" s="9" t="n">
        <v>16</v>
      </c>
      <c r="B20" s="9" t="s">
        <v>824</v>
      </c>
      <c r="C20" s="9" t="s">
        <v>919</v>
      </c>
      <c r="D20" s="9" t="s">
        <v>920</v>
      </c>
      <c r="E20" s="9" t="s">
        <v>921</v>
      </c>
      <c r="F20" s="9" t="s">
        <v>922</v>
      </c>
      <c r="G20" s="9" t="s">
        <v>923</v>
      </c>
      <c r="H20" s="9" t="s">
        <v>830</v>
      </c>
      <c r="I20" s="18" t="s">
        <v>911</v>
      </c>
      <c r="J20" s="9" t="s">
        <v>924</v>
      </c>
    </row>
    <row r="21" customFormat="false" ht="23.85" hidden="false" customHeight="false" outlineLevel="0" collapsed="false">
      <c r="A21" s="9" t="n">
        <v>17</v>
      </c>
      <c r="B21" s="9" t="s">
        <v>925</v>
      </c>
      <c r="C21" s="9" t="s">
        <v>926</v>
      </c>
      <c r="D21" s="9" t="s">
        <v>927</v>
      </c>
      <c r="E21" s="9" t="s">
        <v>741</v>
      </c>
      <c r="F21" s="9" t="s">
        <v>928</v>
      </c>
      <c r="G21" s="9" t="s">
        <v>929</v>
      </c>
      <c r="H21" s="9" t="s">
        <v>930</v>
      </c>
      <c r="I21" s="16" t="s">
        <v>831</v>
      </c>
      <c r="J21" s="9" t="s">
        <v>931</v>
      </c>
    </row>
    <row r="22" customFormat="false" ht="23.85" hidden="false" customHeight="false" outlineLevel="0" collapsed="false">
      <c r="A22" s="9" t="n">
        <v>18</v>
      </c>
      <c r="B22" s="9" t="s">
        <v>925</v>
      </c>
      <c r="C22" s="9" t="s">
        <v>932</v>
      </c>
      <c r="D22" s="9" t="s">
        <v>933</v>
      </c>
      <c r="E22" s="9" t="s">
        <v>934</v>
      </c>
      <c r="F22" s="9" t="s">
        <v>935</v>
      </c>
      <c r="G22" s="9" t="s">
        <v>884</v>
      </c>
      <c r="H22" s="9" t="s">
        <v>936</v>
      </c>
      <c r="I22" s="16" t="s">
        <v>831</v>
      </c>
      <c r="J22" s="9" t="s">
        <v>937</v>
      </c>
    </row>
    <row r="23" customFormat="false" ht="23.85" hidden="false" customHeight="false" outlineLevel="0" collapsed="false">
      <c r="A23" s="9" t="n">
        <v>19</v>
      </c>
      <c r="B23" s="9" t="s">
        <v>925</v>
      </c>
      <c r="C23" s="9" t="s">
        <v>938</v>
      </c>
      <c r="D23" s="9" t="s">
        <v>939</v>
      </c>
      <c r="E23" s="9" t="s">
        <v>769</v>
      </c>
      <c r="F23" s="9" t="s">
        <v>940</v>
      </c>
      <c r="G23" s="9" t="s">
        <v>884</v>
      </c>
      <c r="H23" s="9" t="s">
        <v>941</v>
      </c>
      <c r="I23" s="16" t="s">
        <v>831</v>
      </c>
      <c r="J23" s="9" t="s">
        <v>942</v>
      </c>
    </row>
    <row r="24" customFormat="false" ht="35.05" hidden="false" customHeight="false" outlineLevel="0" collapsed="false">
      <c r="A24" s="9" t="n">
        <v>20</v>
      </c>
      <c r="B24" s="9" t="s">
        <v>925</v>
      </c>
      <c r="C24" s="9" t="s">
        <v>943</v>
      </c>
      <c r="D24" s="9" t="s">
        <v>944</v>
      </c>
      <c r="E24" s="9" t="s">
        <v>741</v>
      </c>
      <c r="F24" s="9" t="s">
        <v>945</v>
      </c>
      <c r="G24" s="9" t="s">
        <v>929</v>
      </c>
      <c r="H24" s="9" t="s">
        <v>946</v>
      </c>
      <c r="I24" s="16" t="s">
        <v>831</v>
      </c>
      <c r="J24" s="9" t="s">
        <v>947</v>
      </c>
    </row>
    <row r="25" customFormat="false" ht="23.85" hidden="false" customHeight="false" outlineLevel="0" collapsed="false">
      <c r="A25" s="9" t="n">
        <v>21</v>
      </c>
      <c r="B25" s="9" t="s">
        <v>925</v>
      </c>
      <c r="C25" s="9" t="s">
        <v>948</v>
      </c>
      <c r="D25" s="9" t="s">
        <v>949</v>
      </c>
      <c r="E25" s="9" t="s">
        <v>757</v>
      </c>
      <c r="F25" s="9" t="s">
        <v>950</v>
      </c>
      <c r="G25" s="9" t="s">
        <v>884</v>
      </c>
      <c r="H25" s="9" t="s">
        <v>951</v>
      </c>
      <c r="I25" s="17" t="s">
        <v>857</v>
      </c>
      <c r="J25" s="9" t="s">
        <v>952</v>
      </c>
    </row>
    <row r="26" customFormat="false" ht="23.85" hidden="false" customHeight="false" outlineLevel="0" collapsed="false">
      <c r="A26" s="9" t="n">
        <v>22</v>
      </c>
      <c r="B26" s="9" t="s">
        <v>925</v>
      </c>
      <c r="C26" s="9" t="s">
        <v>953</v>
      </c>
      <c r="D26" s="9" t="s">
        <v>954</v>
      </c>
      <c r="E26" s="9" t="s">
        <v>955</v>
      </c>
      <c r="F26" s="9" t="s">
        <v>956</v>
      </c>
      <c r="G26" s="9" t="s">
        <v>884</v>
      </c>
      <c r="H26" s="9" t="s">
        <v>957</v>
      </c>
      <c r="I26" s="17" t="s">
        <v>857</v>
      </c>
      <c r="J26" s="9" t="s">
        <v>958</v>
      </c>
    </row>
    <row r="27" customFormat="false" ht="23.85" hidden="false" customHeight="false" outlineLevel="0" collapsed="false">
      <c r="A27" s="9" t="n">
        <v>23</v>
      </c>
      <c r="B27" s="9" t="s">
        <v>925</v>
      </c>
      <c r="C27" s="9" t="s">
        <v>959</v>
      </c>
      <c r="D27" s="9" t="s">
        <v>960</v>
      </c>
      <c r="E27" s="9" t="s">
        <v>853</v>
      </c>
      <c r="F27" s="9" t="s">
        <v>961</v>
      </c>
      <c r="G27" s="9" t="s">
        <v>962</v>
      </c>
      <c r="H27" s="9" t="s">
        <v>963</v>
      </c>
      <c r="I27" s="16" t="s">
        <v>831</v>
      </c>
      <c r="J27" s="9" t="s">
        <v>964</v>
      </c>
    </row>
    <row r="28" customFormat="false" ht="23.85" hidden="false" customHeight="false" outlineLevel="0" collapsed="false">
      <c r="A28" s="9" t="n">
        <v>24</v>
      </c>
      <c r="B28" s="9" t="s">
        <v>925</v>
      </c>
      <c r="C28" s="9" t="s">
        <v>965</v>
      </c>
      <c r="D28" s="9" t="s">
        <v>966</v>
      </c>
      <c r="E28" s="9" t="s">
        <v>967</v>
      </c>
      <c r="F28" s="9" t="s">
        <v>968</v>
      </c>
      <c r="G28" s="9" t="s">
        <v>969</v>
      </c>
      <c r="H28" s="9" t="s">
        <v>970</v>
      </c>
      <c r="I28" s="17" t="s">
        <v>857</v>
      </c>
      <c r="J28" s="9" t="s">
        <v>971</v>
      </c>
    </row>
    <row r="29" customFormat="false" ht="23.85" hidden="false" customHeight="false" outlineLevel="0" collapsed="false">
      <c r="A29" s="9" t="n">
        <v>25</v>
      </c>
      <c r="B29" s="9" t="s">
        <v>925</v>
      </c>
      <c r="C29" s="9" t="s">
        <v>972</v>
      </c>
      <c r="D29" s="9" t="s">
        <v>973</v>
      </c>
      <c r="E29" s="9" t="s">
        <v>722</v>
      </c>
      <c r="F29" s="9" t="s">
        <v>974</v>
      </c>
      <c r="G29" s="9" t="s">
        <v>975</v>
      </c>
      <c r="H29" s="9" t="s">
        <v>976</v>
      </c>
      <c r="I29" s="17" t="s">
        <v>857</v>
      </c>
      <c r="J29" s="9" t="s">
        <v>977</v>
      </c>
    </row>
    <row r="30" customFormat="false" ht="23.85" hidden="false" customHeight="false" outlineLevel="0" collapsed="false">
      <c r="A30" s="9" t="n">
        <v>26</v>
      </c>
      <c r="B30" s="9" t="s">
        <v>925</v>
      </c>
      <c r="C30" s="9" t="s">
        <v>978</v>
      </c>
      <c r="D30" s="9" t="s">
        <v>979</v>
      </c>
      <c r="E30" s="9" t="s">
        <v>980</v>
      </c>
      <c r="F30" s="9" t="s">
        <v>981</v>
      </c>
      <c r="G30" s="9" t="s">
        <v>982</v>
      </c>
      <c r="H30" s="9" t="s">
        <v>983</v>
      </c>
      <c r="I30" s="18" t="s">
        <v>911</v>
      </c>
      <c r="J30" s="9" t="s">
        <v>984</v>
      </c>
    </row>
  </sheetData>
  <autoFilter ref="A4:J30"/>
  <dataValidations count="1">
    <dataValidation allowBlank="true" errorStyle="stop" operator="between" showDropDown="false" showErrorMessage="false" showInputMessage="false" sqref="I5:I130" type="list">
      <formula1>"Haute,Moyenne,Basse"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60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6" t="s">
        <v>985</v>
      </c>
    </row>
    <row r="2" customFormat="false" ht="15" hidden="false" customHeight="false" outlineLevel="0" collapsed="false">
      <c r="A2" s="7" t="s">
        <v>986</v>
      </c>
    </row>
    <row r="4" customFormat="false" ht="31.5" hidden="false" customHeight="true" outlineLevel="0" collapsed="false">
      <c r="A4" s="8" t="s">
        <v>44</v>
      </c>
      <c r="B4" s="8" t="s">
        <v>15</v>
      </c>
      <c r="C4" s="8" t="s">
        <v>46</v>
      </c>
      <c r="D4" s="8" t="s">
        <v>47</v>
      </c>
      <c r="E4" s="8" t="s">
        <v>987</v>
      </c>
      <c r="F4" s="8" t="s">
        <v>988</v>
      </c>
      <c r="G4" s="8" t="s">
        <v>989</v>
      </c>
    </row>
    <row r="5" customFormat="false" ht="23.85" hidden="false" customHeight="false" outlineLevel="0" collapsed="false">
      <c r="A5" s="9" t="n">
        <v>1</v>
      </c>
      <c r="B5" s="9" t="s">
        <v>990</v>
      </c>
      <c r="C5" s="10" t="n">
        <v>28742</v>
      </c>
      <c r="D5" s="9" t="s">
        <v>230</v>
      </c>
      <c r="E5" s="9" t="s">
        <v>991</v>
      </c>
      <c r="F5" s="9" t="s">
        <v>992</v>
      </c>
      <c r="G5" s="9" t="s">
        <v>993</v>
      </c>
    </row>
    <row r="6" customFormat="false" ht="23.85" hidden="false" customHeight="false" outlineLevel="0" collapsed="false">
      <c r="A6" s="9" t="n">
        <v>2</v>
      </c>
      <c r="B6" s="9" t="s">
        <v>994</v>
      </c>
      <c r="C6" s="10" t="n">
        <v>35775</v>
      </c>
      <c r="D6" s="9" t="s">
        <v>230</v>
      </c>
      <c r="E6" s="9" t="s">
        <v>271</v>
      </c>
      <c r="F6" s="9" t="s">
        <v>995</v>
      </c>
      <c r="G6" s="9" t="s">
        <v>993</v>
      </c>
    </row>
    <row r="7" customFormat="false" ht="23.85" hidden="false" customHeight="false" outlineLevel="0" collapsed="false">
      <c r="A7" s="9" t="n">
        <v>3</v>
      </c>
      <c r="B7" s="9" t="s">
        <v>996</v>
      </c>
      <c r="C7" s="19" t="n">
        <v>24.5</v>
      </c>
      <c r="D7" s="9" t="s">
        <v>81</v>
      </c>
      <c r="E7" s="9" t="s">
        <v>997</v>
      </c>
      <c r="F7" s="9" t="s">
        <v>995</v>
      </c>
      <c r="G7" s="9" t="s">
        <v>993</v>
      </c>
    </row>
    <row r="8" customFormat="false" ht="23.85" hidden="false" customHeight="false" outlineLevel="0" collapsed="false">
      <c r="A8" s="9" t="n">
        <v>4</v>
      </c>
      <c r="B8" s="9" t="s">
        <v>998</v>
      </c>
      <c r="C8" s="10" t="n">
        <v>61526</v>
      </c>
      <c r="D8" s="9" t="s">
        <v>230</v>
      </c>
      <c r="E8" s="9" t="s">
        <v>991</v>
      </c>
      <c r="F8" s="9" t="s">
        <v>999</v>
      </c>
      <c r="G8" s="9" t="s">
        <v>993</v>
      </c>
    </row>
    <row r="9" customFormat="false" ht="23.85" hidden="false" customHeight="false" outlineLevel="0" collapsed="false">
      <c r="A9" s="9" t="n">
        <v>5</v>
      </c>
      <c r="B9" s="9" t="s">
        <v>998</v>
      </c>
      <c r="C9" s="10" t="n">
        <v>55973</v>
      </c>
      <c r="D9" s="9" t="s">
        <v>230</v>
      </c>
      <c r="E9" s="9" t="s">
        <v>271</v>
      </c>
      <c r="F9" s="9" t="s">
        <v>995</v>
      </c>
      <c r="G9" s="9" t="s">
        <v>993</v>
      </c>
    </row>
    <row r="10" customFormat="false" ht="23.85" hidden="false" customHeight="false" outlineLevel="0" collapsed="false">
      <c r="A10" s="9" t="n">
        <v>6</v>
      </c>
      <c r="B10" s="9" t="s">
        <v>1000</v>
      </c>
      <c r="C10" s="19" t="n">
        <v>-9</v>
      </c>
      <c r="D10" s="9" t="s">
        <v>81</v>
      </c>
      <c r="E10" s="9" t="s">
        <v>997</v>
      </c>
      <c r="F10" s="9" t="s">
        <v>995</v>
      </c>
      <c r="G10" s="9" t="s">
        <v>993</v>
      </c>
    </row>
    <row r="11" customFormat="false" ht="23.85" hidden="false" customHeight="false" outlineLevel="0" collapsed="false">
      <c r="A11" s="9" t="n">
        <v>7</v>
      </c>
      <c r="B11" s="9" t="s">
        <v>1001</v>
      </c>
      <c r="C11" s="10" t="n">
        <v>12964</v>
      </c>
      <c r="D11" s="9" t="s">
        <v>230</v>
      </c>
      <c r="E11" s="9" t="s">
        <v>991</v>
      </c>
      <c r="F11" s="9" t="s">
        <v>1002</v>
      </c>
      <c r="G11" s="9" t="s">
        <v>993</v>
      </c>
    </row>
    <row r="12" customFormat="false" ht="23.85" hidden="false" customHeight="false" outlineLevel="0" collapsed="false">
      <c r="A12" s="9" t="n">
        <v>8</v>
      </c>
      <c r="B12" s="9" t="s">
        <v>1001</v>
      </c>
      <c r="C12" s="10" t="n">
        <v>12169</v>
      </c>
      <c r="D12" s="9" t="s">
        <v>230</v>
      </c>
      <c r="E12" s="9" t="s">
        <v>271</v>
      </c>
      <c r="F12" s="9" t="s">
        <v>995</v>
      </c>
      <c r="G12" s="9" t="s">
        <v>993</v>
      </c>
    </row>
    <row r="13" customFormat="false" ht="23.85" hidden="false" customHeight="false" outlineLevel="0" collapsed="false">
      <c r="A13" s="9" t="n">
        <v>9</v>
      </c>
      <c r="B13" s="9" t="s">
        <v>1003</v>
      </c>
      <c r="C13" s="19" t="n">
        <v>-6.1</v>
      </c>
      <c r="D13" s="9" t="s">
        <v>81</v>
      </c>
      <c r="E13" s="9" t="s">
        <v>997</v>
      </c>
      <c r="F13" s="9" t="s">
        <v>995</v>
      </c>
      <c r="G13" s="9" t="s">
        <v>993</v>
      </c>
    </row>
    <row r="14" customFormat="false" ht="23.85" hidden="false" customHeight="false" outlineLevel="0" collapsed="false">
      <c r="A14" s="9" t="n">
        <v>10</v>
      </c>
      <c r="B14" s="9" t="s">
        <v>1004</v>
      </c>
      <c r="C14" s="19" t="n">
        <v>35.4</v>
      </c>
      <c r="D14" s="9" t="s">
        <v>81</v>
      </c>
      <c r="E14" s="9" t="s">
        <v>997</v>
      </c>
      <c r="F14" s="9" t="s">
        <v>1005</v>
      </c>
      <c r="G14" s="9" t="s">
        <v>993</v>
      </c>
    </row>
    <row r="15" customFormat="false" ht="23.85" hidden="false" customHeight="false" outlineLevel="0" collapsed="false">
      <c r="A15" s="9" t="n">
        <v>11</v>
      </c>
      <c r="B15" s="9" t="s">
        <v>1006</v>
      </c>
      <c r="C15" s="19" t="n">
        <v>-2.6</v>
      </c>
      <c r="D15" s="9" t="s">
        <v>81</v>
      </c>
      <c r="E15" s="9" t="s">
        <v>997</v>
      </c>
      <c r="F15" s="9" t="s">
        <v>995</v>
      </c>
      <c r="G15" s="9" t="s">
        <v>993</v>
      </c>
    </row>
    <row r="16" customFormat="false" ht="23.85" hidden="false" customHeight="false" outlineLevel="0" collapsed="false">
      <c r="A16" s="9" t="n">
        <v>12</v>
      </c>
      <c r="B16" s="9" t="s">
        <v>1007</v>
      </c>
      <c r="C16" s="19" t="n">
        <v>4.6</v>
      </c>
      <c r="D16" s="9" t="s">
        <v>81</v>
      </c>
      <c r="E16" s="9" t="s">
        <v>997</v>
      </c>
      <c r="F16" s="9" t="s">
        <v>995</v>
      </c>
      <c r="G16" s="9" t="s">
        <v>993</v>
      </c>
    </row>
    <row r="17" customFormat="false" ht="23.85" hidden="false" customHeight="false" outlineLevel="0" collapsed="false">
      <c r="A17" s="9" t="n">
        <v>13</v>
      </c>
      <c r="B17" s="9" t="s">
        <v>1008</v>
      </c>
      <c r="C17" s="19" t="n">
        <v>3.07</v>
      </c>
      <c r="D17" s="9" t="s">
        <v>174</v>
      </c>
      <c r="E17" s="9" t="s">
        <v>1009</v>
      </c>
      <c r="F17" s="9" t="s">
        <v>995</v>
      </c>
      <c r="G17" s="9" t="s">
        <v>993</v>
      </c>
    </row>
    <row r="18" customFormat="false" ht="23.85" hidden="false" customHeight="false" outlineLevel="0" collapsed="false">
      <c r="A18" s="9" t="n">
        <v>14</v>
      </c>
      <c r="B18" s="9" t="s">
        <v>1008</v>
      </c>
      <c r="C18" s="19" t="n">
        <v>0.31</v>
      </c>
      <c r="D18" s="9" t="s">
        <v>174</v>
      </c>
      <c r="E18" s="9" t="s">
        <v>1010</v>
      </c>
      <c r="F18" s="9" t="s">
        <v>995</v>
      </c>
      <c r="G18" s="9" t="s">
        <v>993</v>
      </c>
    </row>
    <row r="19" customFormat="false" ht="23.85" hidden="false" customHeight="false" outlineLevel="0" collapsed="false">
      <c r="A19" s="9" t="n">
        <v>15</v>
      </c>
      <c r="B19" s="9" t="s">
        <v>1011</v>
      </c>
      <c r="C19" s="19" t="n">
        <v>-1.15</v>
      </c>
      <c r="D19" s="9" t="s">
        <v>174</v>
      </c>
      <c r="E19" s="9" t="s">
        <v>1010</v>
      </c>
      <c r="F19" s="9" t="s">
        <v>995</v>
      </c>
      <c r="G19" s="9" t="s">
        <v>993</v>
      </c>
    </row>
    <row r="20" customFormat="false" ht="23.85" hidden="false" customHeight="false" outlineLevel="0" collapsed="false">
      <c r="A20" s="9" t="n">
        <v>16</v>
      </c>
      <c r="B20" s="9" t="s">
        <v>1012</v>
      </c>
      <c r="C20" s="19" t="n">
        <v>-16.5</v>
      </c>
      <c r="D20" s="9" t="s">
        <v>1013</v>
      </c>
      <c r="E20" s="9" t="s">
        <v>997</v>
      </c>
      <c r="F20" s="9" t="s">
        <v>1014</v>
      </c>
      <c r="G20" s="9" t="s">
        <v>993</v>
      </c>
    </row>
    <row r="21" customFormat="false" ht="23.85" hidden="false" customHeight="false" outlineLevel="0" collapsed="false">
      <c r="A21" s="9" t="n">
        <v>17</v>
      </c>
      <c r="B21" s="9" t="s">
        <v>1015</v>
      </c>
      <c r="C21" s="19" t="n">
        <v>-25.3</v>
      </c>
      <c r="D21" s="9" t="s">
        <v>81</v>
      </c>
      <c r="E21" s="9" t="s">
        <v>997</v>
      </c>
      <c r="F21" s="9" t="s">
        <v>1016</v>
      </c>
      <c r="G21" s="9" t="s">
        <v>993</v>
      </c>
    </row>
    <row r="22" customFormat="false" ht="23.85" hidden="false" customHeight="false" outlineLevel="0" collapsed="false">
      <c r="A22" s="9" t="n">
        <v>18</v>
      </c>
      <c r="B22" s="9" t="s">
        <v>1017</v>
      </c>
      <c r="C22" s="19" t="n">
        <v>-42.4</v>
      </c>
      <c r="D22" s="9" t="s">
        <v>81</v>
      </c>
      <c r="E22" s="9" t="s">
        <v>997</v>
      </c>
      <c r="F22" s="9" t="s">
        <v>1018</v>
      </c>
      <c r="G22" s="9" t="s">
        <v>993</v>
      </c>
    </row>
    <row r="23" customFormat="false" ht="23.85" hidden="false" customHeight="false" outlineLevel="0" collapsed="false">
      <c r="A23" s="9" t="n">
        <v>19</v>
      </c>
      <c r="B23" s="9" t="s">
        <v>1019</v>
      </c>
      <c r="C23" s="19" t="n">
        <v>-5.6</v>
      </c>
      <c r="D23" s="9" t="s">
        <v>81</v>
      </c>
      <c r="E23" s="9" t="s">
        <v>1020</v>
      </c>
      <c r="F23" s="9" t="s">
        <v>1021</v>
      </c>
      <c r="G23" s="9" t="s">
        <v>993</v>
      </c>
    </row>
    <row r="24" customFormat="false" ht="23.85" hidden="false" customHeight="false" outlineLevel="0" collapsed="false">
      <c r="A24" s="9" t="n">
        <v>20</v>
      </c>
      <c r="B24" s="9" t="s">
        <v>1022</v>
      </c>
      <c r="C24" s="10" t="n">
        <v>89</v>
      </c>
      <c r="D24" s="9" t="s">
        <v>81</v>
      </c>
      <c r="E24" s="9" t="s">
        <v>366</v>
      </c>
      <c r="F24" s="9" t="s">
        <v>1023</v>
      </c>
      <c r="G24" s="9" t="s">
        <v>993</v>
      </c>
    </row>
    <row r="25" customFormat="false" ht="23.85" hidden="false" customHeight="false" outlineLevel="0" collapsed="false">
      <c r="A25" s="9" t="n">
        <v>21</v>
      </c>
      <c r="B25" s="9" t="s">
        <v>1024</v>
      </c>
      <c r="C25" s="19" t="n">
        <v>0.26</v>
      </c>
      <c r="D25" s="9" t="s">
        <v>1025</v>
      </c>
      <c r="E25" s="9" t="s">
        <v>997</v>
      </c>
      <c r="F25" s="9" t="s">
        <v>1026</v>
      </c>
      <c r="G25" s="9" t="s">
        <v>993</v>
      </c>
    </row>
    <row r="26" customFormat="false" ht="23.85" hidden="false" customHeight="false" outlineLevel="0" collapsed="false">
      <c r="A26" s="9" t="n">
        <v>22</v>
      </c>
      <c r="B26" s="9" t="s">
        <v>1027</v>
      </c>
      <c r="C26" s="19" t="n">
        <v>-0.08</v>
      </c>
      <c r="D26" s="9" t="s">
        <v>1028</v>
      </c>
      <c r="E26" s="9" t="s">
        <v>997</v>
      </c>
      <c r="F26" s="9" t="s">
        <v>1029</v>
      </c>
      <c r="G26" s="9" t="s">
        <v>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2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6" t="s">
        <v>1030</v>
      </c>
    </row>
    <row r="2" customFormat="false" ht="15" hidden="false" customHeight="false" outlineLevel="0" collapsed="false">
      <c r="A2" s="7" t="s">
        <v>1031</v>
      </c>
    </row>
    <row r="4" customFormat="false" ht="31.5" hidden="false" customHeight="true" outlineLevel="0" collapsed="false">
      <c r="A4" s="8" t="s">
        <v>45</v>
      </c>
      <c r="B4" s="8" t="s">
        <v>1032</v>
      </c>
      <c r="C4" s="8" t="s">
        <v>1033</v>
      </c>
      <c r="D4" s="8" t="s">
        <v>1034</v>
      </c>
      <c r="E4" s="8" t="s">
        <v>1035</v>
      </c>
      <c r="F4" s="8" t="s">
        <v>1036</v>
      </c>
      <c r="G4" s="8" t="s">
        <v>1037</v>
      </c>
    </row>
    <row r="5" customFormat="false" ht="15" hidden="false" customHeight="false" outlineLevel="0" collapsed="false">
      <c r="A5" s="20" t="s">
        <v>55</v>
      </c>
      <c r="B5" s="21" t="n">
        <f aca="false">COUNTIFS(Chiffres!$B$5:$B$456,$A5,Chiffres!$M$5:$M$456,"A - Relu dans la source primaire")</f>
        <v>14</v>
      </c>
      <c r="C5" s="21" t="n">
        <f aca="false">COUNTIFS(Chiffres!$B$5:$B$456,$A5,Chiffres!$M$5:$M$456,"B - Source primaire consultée pendant la recherche (non relue)")</f>
        <v>1</v>
      </c>
      <c r="D5" s="21" t="n">
        <f aca="false">COUNTIFS(Chiffres!$B$5:$B$456,$A5,Chiffres!$M$5:$M$456,"C - Via un relais (presse, synthèse, autre rapport)")</f>
        <v>1</v>
      </c>
      <c r="E5" s="21" t="n">
        <f aca="false">COUNTIFS(Chiffres!$B$5:$B$456,$A5,Chiffres!$M$5:$M$456,"D - Non vérifié : origine à confirmer")</f>
        <v>1</v>
      </c>
      <c r="F5" s="21" t="n">
        <f aca="false">COUNTIFS(Chiffres!$B$5:$B$456,$A5,Chiffres!$M$5:$M$456,"E - Repris de la présentation OCDE (non revérifié)")</f>
        <v>3</v>
      </c>
      <c r="G5" s="22" t="n">
        <f aca="false">SUM(B5:F5)</f>
        <v>20</v>
      </c>
    </row>
    <row r="6" customFormat="false" ht="15" hidden="false" customHeight="false" outlineLevel="0" collapsed="false">
      <c r="A6" s="20" t="s">
        <v>172</v>
      </c>
      <c r="B6" s="21" t="n">
        <f aca="false">COUNTIFS(Chiffres!$B$5:$B$456,$A6,Chiffres!$M$5:$M$456,"A - Relu dans la source primaire")</f>
        <v>17</v>
      </c>
      <c r="C6" s="21" t="n">
        <f aca="false">COUNTIFS(Chiffres!$B$5:$B$456,$A6,Chiffres!$M$5:$M$456,"B - Source primaire consultée pendant la recherche (non relue)")</f>
        <v>0</v>
      </c>
      <c r="D6" s="21" t="n">
        <f aca="false">COUNTIFS(Chiffres!$B$5:$B$456,$A6,Chiffres!$M$5:$M$456,"C - Via un relais (presse, synthèse, autre rapport)")</f>
        <v>1</v>
      </c>
      <c r="E6" s="21" t="n">
        <f aca="false">COUNTIFS(Chiffres!$B$5:$B$456,$A6,Chiffres!$M$5:$M$456,"D - Non vérifié : origine à confirmer")</f>
        <v>0</v>
      </c>
      <c r="F6" s="21" t="n">
        <f aca="false">COUNTIFS(Chiffres!$B$5:$B$456,$A6,Chiffres!$M$5:$M$456,"E - Repris de la présentation OCDE (non revérifié)")</f>
        <v>0</v>
      </c>
      <c r="G6" s="22" t="n">
        <f aca="false">SUM(B6:F6)</f>
        <v>18</v>
      </c>
    </row>
    <row r="7" customFormat="false" ht="15" hidden="false" customHeight="false" outlineLevel="0" collapsed="false">
      <c r="A7" s="20" t="s">
        <v>238</v>
      </c>
      <c r="B7" s="21" t="n">
        <f aca="false">COUNTIFS(Chiffres!$B$5:$B$456,$A7,Chiffres!$M$5:$M$456,"A - Relu dans la source primaire")</f>
        <v>4</v>
      </c>
      <c r="C7" s="21" t="n">
        <f aca="false">COUNTIFS(Chiffres!$B$5:$B$456,$A7,Chiffres!$M$5:$M$456,"B - Source primaire consultée pendant la recherche (non relue)")</f>
        <v>2</v>
      </c>
      <c r="D7" s="21" t="n">
        <f aca="false">COUNTIFS(Chiffres!$B$5:$B$456,$A7,Chiffres!$M$5:$M$456,"C - Via un relais (presse, synthèse, autre rapport)")</f>
        <v>17</v>
      </c>
      <c r="E7" s="21" t="n">
        <f aca="false">COUNTIFS(Chiffres!$B$5:$B$456,$A7,Chiffres!$M$5:$M$456,"D - Non vérifié : origine à confirmer")</f>
        <v>1</v>
      </c>
      <c r="F7" s="21" t="n">
        <f aca="false">COUNTIFS(Chiffres!$B$5:$B$456,$A7,Chiffres!$M$5:$M$456,"E - Repris de la présentation OCDE (non revérifié)")</f>
        <v>1</v>
      </c>
      <c r="G7" s="22" t="n">
        <f aca="false">SUM(B7:F7)</f>
        <v>25</v>
      </c>
    </row>
    <row r="8" customFormat="false" ht="15" hidden="false" customHeight="false" outlineLevel="0" collapsed="false">
      <c r="A8" s="20" t="s">
        <v>353</v>
      </c>
      <c r="B8" s="21" t="n">
        <f aca="false">COUNTIFS(Chiffres!$B$5:$B$456,$A8,Chiffres!$M$5:$M$456,"A - Relu dans la source primaire")</f>
        <v>4</v>
      </c>
      <c r="C8" s="21" t="n">
        <f aca="false">COUNTIFS(Chiffres!$B$5:$B$456,$A8,Chiffres!$M$5:$M$456,"B - Source primaire consultée pendant la recherche (non relue)")</f>
        <v>1</v>
      </c>
      <c r="D8" s="21" t="n">
        <f aca="false">COUNTIFS(Chiffres!$B$5:$B$456,$A8,Chiffres!$M$5:$M$456,"C - Via un relais (presse, synthèse, autre rapport)")</f>
        <v>5</v>
      </c>
      <c r="E8" s="21" t="n">
        <f aca="false">COUNTIFS(Chiffres!$B$5:$B$456,$A8,Chiffres!$M$5:$M$456,"D - Non vérifié : origine à confirmer")</f>
        <v>0</v>
      </c>
      <c r="F8" s="21" t="n">
        <f aca="false">COUNTIFS(Chiffres!$B$5:$B$456,$A8,Chiffres!$M$5:$M$456,"E - Repris de la présentation OCDE (non revérifié)")</f>
        <v>0</v>
      </c>
      <c r="G8" s="22" t="n">
        <f aca="false">SUM(B8:F8)</f>
        <v>10</v>
      </c>
    </row>
    <row r="9" customFormat="false" ht="15" hidden="false" customHeight="false" outlineLevel="0" collapsed="false">
      <c r="A9" s="20" t="s">
        <v>390</v>
      </c>
      <c r="B9" s="21" t="n">
        <f aca="false">COUNTIFS(Chiffres!$B$5:$B$456,$A9,Chiffres!$M$5:$M$456,"A - Relu dans la source primaire")</f>
        <v>0</v>
      </c>
      <c r="C9" s="21" t="n">
        <f aca="false">COUNTIFS(Chiffres!$B$5:$B$456,$A9,Chiffres!$M$5:$M$456,"B - Source primaire consultée pendant la recherche (non relue)")</f>
        <v>7</v>
      </c>
      <c r="D9" s="21" t="n">
        <f aca="false">COUNTIFS(Chiffres!$B$5:$B$456,$A9,Chiffres!$M$5:$M$456,"C - Via un relais (presse, synthèse, autre rapport)")</f>
        <v>4</v>
      </c>
      <c r="E9" s="21" t="n">
        <f aca="false">COUNTIFS(Chiffres!$B$5:$B$456,$A9,Chiffres!$M$5:$M$456,"D - Non vérifié : origine à confirmer")</f>
        <v>0</v>
      </c>
      <c r="F9" s="21" t="n">
        <f aca="false">COUNTIFS(Chiffres!$B$5:$B$456,$A9,Chiffres!$M$5:$M$456,"E - Repris de la présentation OCDE (non revérifié)")</f>
        <v>0</v>
      </c>
      <c r="G9" s="22" t="n">
        <f aca="false">SUM(B9:F9)</f>
        <v>11</v>
      </c>
    </row>
    <row r="10" customFormat="false" ht="15" hidden="false" customHeight="false" outlineLevel="0" collapsed="false">
      <c r="A10" s="20" t="s">
        <v>455</v>
      </c>
      <c r="B10" s="21" t="n">
        <f aca="false">COUNTIFS(Chiffres!$B$5:$B$456,$A10,Chiffres!$M$5:$M$456,"A - Relu dans la source primaire")</f>
        <v>15</v>
      </c>
      <c r="C10" s="21" t="n">
        <f aca="false">COUNTIFS(Chiffres!$B$5:$B$456,$A10,Chiffres!$M$5:$M$456,"B - Source primaire consultée pendant la recherche (non relue)")</f>
        <v>0</v>
      </c>
      <c r="D10" s="21" t="n">
        <f aca="false">COUNTIFS(Chiffres!$B$5:$B$456,$A10,Chiffres!$M$5:$M$456,"C - Via un relais (presse, synthèse, autre rapport)")</f>
        <v>3</v>
      </c>
      <c r="E10" s="21" t="n">
        <f aca="false">COUNTIFS(Chiffres!$B$5:$B$456,$A10,Chiffres!$M$5:$M$456,"D - Non vérifié : origine à confirmer")</f>
        <v>0</v>
      </c>
      <c r="F10" s="21" t="n">
        <f aca="false">COUNTIFS(Chiffres!$B$5:$B$456,$A10,Chiffres!$M$5:$M$456,"E - Repris de la présentation OCDE (non revérifié)")</f>
        <v>0</v>
      </c>
      <c r="G10" s="22" t="n">
        <f aca="false">SUM(B10:F10)</f>
        <v>18</v>
      </c>
    </row>
    <row r="11" customFormat="false" ht="15" hidden="false" customHeight="false" outlineLevel="0" collapsed="false">
      <c r="A11" s="20" t="s">
        <v>500</v>
      </c>
      <c r="B11" s="21" t="n">
        <f aca="false">COUNTIFS(Chiffres!$B$5:$B$456,$A11,Chiffres!$M$5:$M$456,"A - Relu dans la source primaire")</f>
        <v>1</v>
      </c>
      <c r="C11" s="21" t="n">
        <f aca="false">COUNTIFS(Chiffres!$B$5:$B$456,$A11,Chiffres!$M$5:$M$456,"B - Source primaire consultée pendant la recherche (non relue)")</f>
        <v>0</v>
      </c>
      <c r="D11" s="21" t="n">
        <f aca="false">COUNTIFS(Chiffres!$B$5:$B$456,$A11,Chiffres!$M$5:$M$456,"C - Via un relais (presse, synthèse, autre rapport)")</f>
        <v>5</v>
      </c>
      <c r="E11" s="21" t="n">
        <f aca="false">COUNTIFS(Chiffres!$B$5:$B$456,$A11,Chiffres!$M$5:$M$456,"D - Non vérifié : origine à confirmer")</f>
        <v>0</v>
      </c>
      <c r="F11" s="21" t="n">
        <f aca="false">COUNTIFS(Chiffres!$B$5:$B$456,$A11,Chiffres!$M$5:$M$456,"E - Repris de la présentation OCDE (non revérifié)")</f>
        <v>0</v>
      </c>
      <c r="G11" s="22" t="n">
        <f aca="false">SUM(B11:F11)</f>
        <v>6</v>
      </c>
    </row>
    <row r="12" customFormat="false" ht="15" hidden="false" customHeight="false" outlineLevel="0" collapsed="false">
      <c r="A12" s="20" t="s">
        <v>531</v>
      </c>
      <c r="B12" s="21" t="n">
        <f aca="false">COUNTIFS(Chiffres!$B$5:$B$456,$A12,Chiffres!$M$5:$M$456,"A - Relu dans la source primaire")</f>
        <v>2</v>
      </c>
      <c r="C12" s="21" t="n">
        <f aca="false">COUNTIFS(Chiffres!$B$5:$B$456,$A12,Chiffres!$M$5:$M$456,"B - Source primaire consultée pendant la recherche (non relue)")</f>
        <v>2</v>
      </c>
      <c r="D12" s="21" t="n">
        <f aca="false">COUNTIFS(Chiffres!$B$5:$B$456,$A12,Chiffres!$M$5:$M$456,"C - Via un relais (presse, synthèse, autre rapport)")</f>
        <v>1</v>
      </c>
      <c r="E12" s="21" t="n">
        <f aca="false">COUNTIFS(Chiffres!$B$5:$B$456,$A12,Chiffres!$M$5:$M$456,"D - Non vérifié : origine à confirmer")</f>
        <v>0</v>
      </c>
      <c r="F12" s="21" t="n">
        <f aca="false">COUNTIFS(Chiffres!$B$5:$B$456,$A12,Chiffres!$M$5:$M$456,"E - Repris de la présentation OCDE (non revérifié)")</f>
        <v>0</v>
      </c>
      <c r="G12" s="22" t="n">
        <f aca="false">SUM(B12:F12)</f>
        <v>5</v>
      </c>
    </row>
    <row r="13" customFormat="false" ht="15" hidden="false" customHeight="false" outlineLevel="0" collapsed="false">
      <c r="A13" s="20" t="s">
        <v>560</v>
      </c>
      <c r="B13" s="21" t="n">
        <f aca="false">COUNTIFS(Chiffres!$B$5:$B$456,$A13,Chiffres!$M$5:$M$456,"A - Relu dans la source primaire")</f>
        <v>11</v>
      </c>
      <c r="C13" s="21" t="n">
        <f aca="false">COUNTIFS(Chiffres!$B$5:$B$456,$A13,Chiffres!$M$5:$M$456,"B - Source primaire consultée pendant la recherche (non relue)")</f>
        <v>0</v>
      </c>
      <c r="D13" s="21" t="n">
        <f aca="false">COUNTIFS(Chiffres!$B$5:$B$456,$A13,Chiffres!$M$5:$M$456,"C - Via un relais (presse, synthèse, autre rapport)")</f>
        <v>6</v>
      </c>
      <c r="E13" s="21" t="n">
        <f aca="false">COUNTIFS(Chiffres!$B$5:$B$456,$A13,Chiffres!$M$5:$M$456,"D - Non vérifié : origine à confirmer")</f>
        <v>0</v>
      </c>
      <c r="F13" s="21" t="n">
        <f aca="false">COUNTIFS(Chiffres!$B$5:$B$456,$A13,Chiffres!$M$5:$M$456,"E - Repris de la présentation OCDE (non revérifié)")</f>
        <v>1</v>
      </c>
      <c r="G13" s="22" t="n">
        <f aca="false">SUM(B13:F13)</f>
        <v>18</v>
      </c>
    </row>
    <row r="14" customFormat="false" ht="15" hidden="false" customHeight="false" outlineLevel="0" collapsed="false">
      <c r="A14" s="20" t="s">
        <v>595</v>
      </c>
      <c r="B14" s="21" t="n">
        <f aca="false">COUNTIFS(Chiffres!$B$5:$B$456,$A14,Chiffres!$M$5:$M$456,"A - Relu dans la source primaire")</f>
        <v>0</v>
      </c>
      <c r="C14" s="21" t="n">
        <f aca="false">COUNTIFS(Chiffres!$B$5:$B$456,$A14,Chiffres!$M$5:$M$456,"B - Source primaire consultée pendant la recherche (non relue)")</f>
        <v>12</v>
      </c>
      <c r="D14" s="21" t="n">
        <f aca="false">COUNTIFS(Chiffres!$B$5:$B$456,$A14,Chiffres!$M$5:$M$456,"C - Via un relais (presse, synthèse, autre rapport)")</f>
        <v>6</v>
      </c>
      <c r="E14" s="21" t="n">
        <f aca="false">COUNTIFS(Chiffres!$B$5:$B$456,$A14,Chiffres!$M$5:$M$456,"D - Non vérifié : origine à confirmer")</f>
        <v>0</v>
      </c>
      <c r="F14" s="21" t="n">
        <f aca="false">COUNTIFS(Chiffres!$B$5:$B$456,$A14,Chiffres!$M$5:$M$456,"E - Repris de la présentation OCDE (non revérifié)")</f>
        <v>1</v>
      </c>
      <c r="G14" s="22" t="n">
        <f aca="false">SUM(B14:F14)</f>
        <v>19</v>
      </c>
    </row>
    <row r="15" customFormat="false" ht="15" hidden="false" customHeight="false" outlineLevel="0" collapsed="false">
      <c r="A15" s="20" t="s">
        <v>683</v>
      </c>
      <c r="B15" s="21" t="n">
        <f aca="false">COUNTIFS(Chiffres!$B$5:$B$456,$A15,Chiffres!$M$5:$M$456,"A - Relu dans la source primaire")</f>
        <v>0</v>
      </c>
      <c r="C15" s="21" t="n">
        <f aca="false">COUNTIFS(Chiffres!$B$5:$B$456,$A15,Chiffres!$M$5:$M$456,"B - Source primaire consultée pendant la recherche (non relue)")</f>
        <v>0</v>
      </c>
      <c r="D15" s="21" t="n">
        <f aca="false">COUNTIFS(Chiffres!$B$5:$B$456,$A15,Chiffres!$M$5:$M$456,"C - Via un relais (presse, synthèse, autre rapport)")</f>
        <v>2</v>
      </c>
      <c r="E15" s="21" t="n">
        <f aca="false">COUNTIFS(Chiffres!$B$5:$B$456,$A15,Chiffres!$M$5:$M$456,"D - Non vérifié : origine à confirmer")</f>
        <v>0</v>
      </c>
      <c r="F15" s="21" t="n">
        <f aca="false">COUNTIFS(Chiffres!$B$5:$B$456,$A15,Chiffres!$M$5:$M$456,"E - Repris de la présentation OCDE (non revérifié)")</f>
        <v>0</v>
      </c>
      <c r="G15" s="22" t="n">
        <f aca="false">SUM(B15:F15)</f>
        <v>2</v>
      </c>
    </row>
    <row r="16" customFormat="false" ht="15" hidden="false" customHeight="false" outlineLevel="0" collapsed="false">
      <c r="A16" s="23" t="s">
        <v>1037</v>
      </c>
      <c r="B16" s="24" t="n">
        <f aca="false">SUM(B5:B15)</f>
        <v>68</v>
      </c>
      <c r="C16" s="24" t="n">
        <f aca="false">SUM(C5:C15)</f>
        <v>25</v>
      </c>
      <c r="D16" s="24" t="n">
        <f aca="false">SUM(D5:D15)</f>
        <v>51</v>
      </c>
      <c r="E16" s="24" t="n">
        <f aca="false">SUM(E5:E15)</f>
        <v>2</v>
      </c>
      <c r="F16" s="24" t="n">
        <f aca="false">SUM(F5:F15)</f>
        <v>6</v>
      </c>
      <c r="G16" s="24" t="n">
        <f aca="false">SUM(G5:G15)</f>
        <v>152</v>
      </c>
    </row>
    <row r="18" customFormat="false" ht="15" hidden="false" customHeight="false" outlineLevel="0" collapsed="false">
      <c r="A18" s="7" t="s">
        <v>1038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55</v>
      </c>
      <c r="B1" s="0" t="s">
        <v>96</v>
      </c>
      <c r="C1" s="0" t="s">
        <v>28</v>
      </c>
    </row>
    <row r="2" customFormat="false" ht="15" hidden="false" customHeight="false" outlineLevel="0" collapsed="false">
      <c r="A2" s="0" t="s">
        <v>172</v>
      </c>
      <c r="B2" s="0" t="s">
        <v>162</v>
      </c>
      <c r="C2" s="0" t="s">
        <v>30</v>
      </c>
    </row>
    <row r="3" customFormat="false" ht="15" hidden="false" customHeight="false" outlineLevel="0" collapsed="false">
      <c r="A3" s="0" t="s">
        <v>238</v>
      </c>
      <c r="B3" s="0" t="s">
        <v>64</v>
      </c>
      <c r="C3" s="0" t="s">
        <v>32</v>
      </c>
    </row>
    <row r="4" customFormat="false" ht="15" hidden="false" customHeight="false" outlineLevel="0" collapsed="false">
      <c r="A4" s="0" t="s">
        <v>353</v>
      </c>
      <c r="B4" s="0" t="s">
        <v>134</v>
      </c>
      <c r="C4" s="0" t="s">
        <v>34</v>
      </c>
    </row>
    <row r="5" customFormat="false" ht="15" hidden="false" customHeight="false" outlineLevel="0" collapsed="false">
      <c r="A5" s="0" t="s">
        <v>390</v>
      </c>
      <c r="B5" s="0" t="s">
        <v>169</v>
      </c>
      <c r="C5" s="0" t="s">
        <v>36</v>
      </c>
    </row>
    <row r="6" customFormat="false" ht="15" hidden="false" customHeight="false" outlineLevel="0" collapsed="false">
      <c r="A6" s="0" t="s">
        <v>455</v>
      </c>
      <c r="B6" s="0" t="s">
        <v>236</v>
      </c>
    </row>
    <row r="7" customFormat="false" ht="15" hidden="false" customHeight="false" outlineLevel="0" collapsed="false">
      <c r="A7" s="0" t="s">
        <v>500</v>
      </c>
      <c r="B7" s="0" t="s">
        <v>508</v>
      </c>
    </row>
    <row r="8" customFormat="false" ht="15" hidden="false" customHeight="false" outlineLevel="0" collapsed="false">
      <c r="A8" s="0" t="s">
        <v>531</v>
      </c>
    </row>
    <row r="9" customFormat="false" ht="15" hidden="false" customHeight="false" outlineLevel="0" collapsed="false">
      <c r="A9" s="0" t="s">
        <v>560</v>
      </c>
    </row>
    <row r="10" customFormat="false" ht="15" hidden="false" customHeight="false" outlineLevel="0" collapsed="false">
      <c r="A10" s="0" t="s">
        <v>595</v>
      </c>
    </row>
    <row r="11" customFormat="false" ht="15" hidden="false" customHeight="false" outlineLevel="0" collapsed="false">
      <c r="A11" s="0" t="s">
        <v>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2026-10-01T13:22:37Z</dcterms:created>
  <dc:creator>openpyxl</dc:creator>
  <dc:description/>
  <dc:language>en-US</dc:language>
  <cp:lastModifiedBy/>
  <dcterms:modified xsi:type="dcterms:W3CDTF">2026-10-01T13:22:37Z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